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5480" windowHeight="11640" tabRatio="918"/>
  </bookViews>
  <sheets>
    <sheet name="CONSOLE" sheetId="30" r:id="rId1"/>
    <sheet name="CONSOLE-&lt;cluster&gt;" sheetId="38" r:id="rId2"/>
    <sheet name="CLSTR-&lt;cluster&gt;" sheetId="18" r:id="rId3"/>
    <sheet name="ESX-&lt;esx&gt;" sheetId="36" r:id="rId4"/>
    <sheet name="ESXPERF-&lt;esx&gt;" sheetId="37" r:id="rId5"/>
    <sheet name="CLSTRDATA-&lt;cluster&gt;" sheetId="17" r:id="rId6"/>
    <sheet name="ESXDATA-&lt;esx&gt;" sheetId="35" r:id="rId7"/>
  </sheets>
  <functionGroups/>
  <externalReferences>
    <externalReference r:id="rId8"/>
  </externalReferences>
  <definedNames>
    <definedName name="ALLESX" localSheetId="1">[1]CONSOLE!#REF!</definedName>
    <definedName name="ALLESX">CONSOLE!#REF!</definedName>
    <definedName name="CAPMGMTBOOK">CONSOLE!$B$3</definedName>
    <definedName name="CAPMGMTPATH">CONSOLE!$B$4</definedName>
    <definedName name="CLUSTER" localSheetId="1">[1]CONSOLE!#REF!</definedName>
    <definedName name="CLUSTER">CONSOLE!#REF!</definedName>
    <definedName name="cpu_4weeks_1" localSheetId="5">'CLSTRDATA-&lt;cluster&gt;'!$B$101:$F$105</definedName>
    <definedName name="cpu_breakdown_1" localSheetId="5">'CLSTRDATA-&lt;cluster&gt;'!$B$251:$F$255</definedName>
    <definedName name="cpu_memory_1" localSheetId="5">'CLSTRDATA-&lt;cluster&gt;'!$B$2:$L$94</definedName>
    <definedName name="cpu_memory_1" localSheetId="6">'ESXDATA-&lt;esx&gt;'!$B$1:$F$93</definedName>
    <definedName name="DATAROOT">CONSOLE!$B$2</definedName>
    <definedName name="disk" localSheetId="6">'ESXDATA-&lt;esx&gt;'!$B$201:$H$293</definedName>
    <definedName name="mem_4weeks_1" localSheetId="5">'CLSTRDATA-&lt;cluster&gt;'!$B$151:$F$155</definedName>
    <definedName name="mem_4weeks_2" localSheetId="5">'CLSTRDATA-&lt;cluster&gt;'!$B$201:$F$205</definedName>
    <definedName name="memory" localSheetId="6">'ESXDATA-&lt;esx&gt;'!$B$101:$J$193</definedName>
    <definedName name="net" localSheetId="6">'ESXDATA-&lt;esx&gt;'!$B$301:$G$393</definedName>
  </definedNames>
  <calcPr calcId="125725"/>
</workbook>
</file>

<file path=xl/calcChain.xml><?xml version="1.0" encoding="utf-8"?>
<calcChain xmlns="http://schemas.openxmlformats.org/spreadsheetml/2006/main">
  <c r="AA94" i="17"/>
  <c r="AA93"/>
  <c r="AA92"/>
  <c r="AA91"/>
  <c r="AA90"/>
  <c r="AA89"/>
  <c r="AA88"/>
  <c r="AA87"/>
  <c r="AA86"/>
  <c r="AA85"/>
  <c r="AA84"/>
  <c r="AA83"/>
  <c r="AA82"/>
  <c r="AA81"/>
  <c r="AA80"/>
  <c r="AA79"/>
  <c r="AA78"/>
  <c r="AA77"/>
  <c r="AA76"/>
  <c r="AA75"/>
  <c r="AA74"/>
  <c r="AA73"/>
  <c r="AA72"/>
  <c r="AA71"/>
  <c r="AA70"/>
  <c r="AA69"/>
  <c r="AA68"/>
  <c r="AA67"/>
  <c r="AA66"/>
  <c r="AA65"/>
  <c r="AA64"/>
  <c r="AA63"/>
  <c r="AA62"/>
  <c r="AA61"/>
  <c r="AA60"/>
  <c r="AA59"/>
  <c r="AA58"/>
  <c r="AA57"/>
  <c r="AA56"/>
  <c r="AA55"/>
  <c r="AA54"/>
  <c r="AA53"/>
  <c r="AA52"/>
  <c r="AA51"/>
  <c r="AA50"/>
  <c r="AA49"/>
  <c r="AA48"/>
  <c r="AA47"/>
  <c r="AA46"/>
  <c r="AA45"/>
  <c r="AA44"/>
  <c r="AA43"/>
  <c r="AA42"/>
  <c r="AA41"/>
  <c r="AA40"/>
  <c r="AA39"/>
  <c r="AA38"/>
  <c r="AA37"/>
  <c r="AA36"/>
  <c r="AA35"/>
  <c r="AA34"/>
  <c r="AA33"/>
  <c r="AA32"/>
  <c r="AA31"/>
  <c r="AA30"/>
  <c r="AA29"/>
  <c r="AA28"/>
  <c r="AA27"/>
  <c r="AA26"/>
  <c r="AA25"/>
  <c r="AA24"/>
  <c r="AA23"/>
  <c r="AA22"/>
  <c r="AA21"/>
  <c r="AA20"/>
  <c r="AA19"/>
  <c r="AA18"/>
  <c r="AA17"/>
  <c r="AA16"/>
  <c r="AA15"/>
  <c r="AA14"/>
  <c r="AA13"/>
  <c r="AA12"/>
  <c r="AA11"/>
  <c r="AA10"/>
  <c r="AA9"/>
  <c r="AA8"/>
  <c r="AA7"/>
  <c r="AA6"/>
  <c r="AA5"/>
  <c r="AA4"/>
  <c r="AA3"/>
  <c r="AA2"/>
  <c r="T3"/>
  <c r="S3"/>
  <c r="R200" l="1"/>
  <c r="U244"/>
  <c r="T244"/>
  <c r="S244"/>
  <c r="R244"/>
  <c r="U243"/>
  <c r="T243"/>
  <c r="S243"/>
  <c r="R243"/>
  <c r="U242"/>
  <c r="T242"/>
  <c r="S242"/>
  <c r="R242"/>
  <c r="U241"/>
  <c r="T241"/>
  <c r="S241"/>
  <c r="R241"/>
  <c r="U240"/>
  <c r="T240"/>
  <c r="S240"/>
  <c r="R240"/>
  <c r="U239"/>
  <c r="T239"/>
  <c r="S239"/>
  <c r="R239"/>
  <c r="U238"/>
  <c r="T238"/>
  <c r="S238"/>
  <c r="R238"/>
  <c r="U237"/>
  <c r="T237"/>
  <c r="S237"/>
  <c r="R237"/>
  <c r="U236"/>
  <c r="T236"/>
  <c r="S236"/>
  <c r="R236"/>
  <c r="U235"/>
  <c r="T235"/>
  <c r="S235"/>
  <c r="R235"/>
  <c r="U234"/>
  <c r="T234"/>
  <c r="S234"/>
  <c r="R234"/>
  <c r="U233"/>
  <c r="T233"/>
  <c r="S233"/>
  <c r="R233"/>
  <c r="U232"/>
  <c r="T232"/>
  <c r="S232"/>
  <c r="R232"/>
  <c r="U231"/>
  <c r="T231"/>
  <c r="S231"/>
  <c r="R231"/>
  <c r="U230"/>
  <c r="T230"/>
  <c r="S230"/>
  <c r="R230"/>
  <c r="U229"/>
  <c r="T229"/>
  <c r="S229"/>
  <c r="R229"/>
  <c r="U228"/>
  <c r="T228"/>
  <c r="S228"/>
  <c r="R228"/>
  <c r="U227"/>
  <c r="T227"/>
  <c r="S227"/>
  <c r="R227"/>
  <c r="U226"/>
  <c r="T226"/>
  <c r="S226"/>
  <c r="R226"/>
  <c r="U225"/>
  <c r="T225"/>
  <c r="S225"/>
  <c r="R225"/>
  <c r="U224"/>
  <c r="T224"/>
  <c r="S224"/>
  <c r="R224"/>
  <c r="U223"/>
  <c r="T223"/>
  <c r="S223"/>
  <c r="R223"/>
  <c r="U222"/>
  <c r="T222"/>
  <c r="S222"/>
  <c r="R222"/>
  <c r="U221"/>
  <c r="T221"/>
  <c r="S221"/>
  <c r="R221"/>
  <c r="U220"/>
  <c r="T220"/>
  <c r="S220"/>
  <c r="R220"/>
  <c r="U219"/>
  <c r="T219"/>
  <c r="S219"/>
  <c r="R219"/>
  <c r="U218"/>
  <c r="T218"/>
  <c r="S218"/>
  <c r="R218"/>
  <c r="U217"/>
  <c r="T217"/>
  <c r="S217"/>
  <c r="R217"/>
  <c r="U216"/>
  <c r="T216"/>
  <c r="S216"/>
  <c r="R216"/>
  <c r="U215"/>
  <c r="T215"/>
  <c r="S215"/>
  <c r="R215"/>
  <c r="U214"/>
  <c r="T214"/>
  <c r="S214"/>
  <c r="R214"/>
  <c r="U213"/>
  <c r="T213"/>
  <c r="S213"/>
  <c r="R213"/>
  <c r="U212"/>
  <c r="T212"/>
  <c r="S212"/>
  <c r="R212"/>
  <c r="U211"/>
  <c r="T211"/>
  <c r="S211"/>
  <c r="R211"/>
  <c r="U210"/>
  <c r="T210"/>
  <c r="S210"/>
  <c r="R210"/>
  <c r="U209"/>
  <c r="T209"/>
  <c r="S209"/>
  <c r="R209"/>
  <c r="U208"/>
  <c r="T208"/>
  <c r="S208"/>
  <c r="R208"/>
  <c r="U207"/>
  <c r="T207"/>
  <c r="S207"/>
  <c r="R207"/>
  <c r="U206"/>
  <c r="T206"/>
  <c r="S206"/>
  <c r="R206"/>
  <c r="U205"/>
  <c r="T205"/>
  <c r="S205"/>
  <c r="R205"/>
  <c r="U204"/>
  <c r="T204"/>
  <c r="S204"/>
  <c r="R204"/>
  <c r="U203"/>
  <c r="T203"/>
  <c r="S203"/>
  <c r="R203"/>
  <c r="U202"/>
  <c r="T202"/>
  <c r="S202"/>
  <c r="R202"/>
  <c r="U201"/>
  <c r="T201"/>
  <c r="S201"/>
  <c r="R201"/>
  <c r="U144"/>
  <c r="T144"/>
  <c r="S144"/>
  <c r="R144"/>
  <c r="U143"/>
  <c r="T143"/>
  <c r="S143"/>
  <c r="R143"/>
  <c r="U142"/>
  <c r="T142"/>
  <c r="S142"/>
  <c r="R142"/>
  <c r="U141"/>
  <c r="T141"/>
  <c r="S141"/>
  <c r="R141"/>
  <c r="U140"/>
  <c r="T140"/>
  <c r="S140"/>
  <c r="R140"/>
  <c r="U139"/>
  <c r="T139"/>
  <c r="S139"/>
  <c r="R139"/>
  <c r="U138"/>
  <c r="T138"/>
  <c r="S138"/>
  <c r="R138"/>
  <c r="U137"/>
  <c r="T137"/>
  <c r="S137"/>
  <c r="R137"/>
  <c r="U136"/>
  <c r="T136"/>
  <c r="S136"/>
  <c r="R136"/>
  <c r="U135"/>
  <c r="T135"/>
  <c r="S135"/>
  <c r="R135"/>
  <c r="U134"/>
  <c r="T134"/>
  <c r="S134"/>
  <c r="R134"/>
  <c r="U133"/>
  <c r="T133"/>
  <c r="S133"/>
  <c r="R133"/>
  <c r="U132"/>
  <c r="T132"/>
  <c r="S132"/>
  <c r="R132"/>
  <c r="U131"/>
  <c r="T131"/>
  <c r="S131"/>
  <c r="R131"/>
  <c r="U130"/>
  <c r="T130"/>
  <c r="S130"/>
  <c r="R130"/>
  <c r="U129"/>
  <c r="T129"/>
  <c r="S129"/>
  <c r="R129"/>
  <c r="U128"/>
  <c r="T128"/>
  <c r="S128"/>
  <c r="R128"/>
  <c r="U127"/>
  <c r="T127"/>
  <c r="S127"/>
  <c r="R127"/>
  <c r="U126"/>
  <c r="T126"/>
  <c r="S126"/>
  <c r="R126"/>
  <c r="U125"/>
  <c r="T125"/>
  <c r="S125"/>
  <c r="R125"/>
  <c r="U124"/>
  <c r="T124"/>
  <c r="S124"/>
  <c r="R124"/>
  <c r="U123"/>
  <c r="T123"/>
  <c r="S123"/>
  <c r="R123"/>
  <c r="U122"/>
  <c r="T122"/>
  <c r="S122"/>
  <c r="R122"/>
  <c r="U121"/>
  <c r="T121"/>
  <c r="S121"/>
  <c r="R121"/>
  <c r="U120"/>
  <c r="T120"/>
  <c r="S120"/>
  <c r="R120"/>
  <c r="U119"/>
  <c r="T119"/>
  <c r="S119"/>
  <c r="R119"/>
  <c r="U118"/>
  <c r="T118"/>
  <c r="S118"/>
  <c r="R118"/>
  <c r="U117"/>
  <c r="T117"/>
  <c r="S117"/>
  <c r="R117"/>
  <c r="U116"/>
  <c r="T116"/>
  <c r="S116"/>
  <c r="R116"/>
  <c r="U115"/>
  <c r="T115"/>
  <c r="S115"/>
  <c r="R115"/>
  <c r="U114"/>
  <c r="T114"/>
  <c r="S114"/>
  <c r="R114"/>
  <c r="U113"/>
  <c r="T113"/>
  <c r="S113"/>
  <c r="R113"/>
  <c r="U112"/>
  <c r="T112"/>
  <c r="S112"/>
  <c r="R112"/>
  <c r="U111"/>
  <c r="T111"/>
  <c r="S111"/>
  <c r="R111"/>
  <c r="U110"/>
  <c r="T110"/>
  <c r="S110"/>
  <c r="R110"/>
  <c r="U109"/>
  <c r="T109"/>
  <c r="S109"/>
  <c r="R109"/>
  <c r="U108"/>
  <c r="T108"/>
  <c r="S108"/>
  <c r="R108"/>
  <c r="U107"/>
  <c r="T107"/>
  <c r="S107"/>
  <c r="R107"/>
  <c r="U106"/>
  <c r="T106"/>
  <c r="S106"/>
  <c r="R106"/>
  <c r="U194"/>
  <c r="T194"/>
  <c r="S194"/>
  <c r="R194"/>
  <c r="U193"/>
  <c r="T193"/>
  <c r="S193"/>
  <c r="R193"/>
  <c r="U192"/>
  <c r="T192"/>
  <c r="S192"/>
  <c r="R192"/>
  <c r="U191"/>
  <c r="T191"/>
  <c r="S191"/>
  <c r="R191"/>
  <c r="U190"/>
  <c r="T190"/>
  <c r="S190"/>
  <c r="R190"/>
  <c r="U189"/>
  <c r="T189"/>
  <c r="S189"/>
  <c r="R189"/>
  <c r="U188"/>
  <c r="T188"/>
  <c r="S188"/>
  <c r="R188"/>
  <c r="U187"/>
  <c r="T187"/>
  <c r="S187"/>
  <c r="R187"/>
  <c r="U186"/>
  <c r="T186"/>
  <c r="S186"/>
  <c r="R186"/>
  <c r="U185"/>
  <c r="T185"/>
  <c r="S185"/>
  <c r="R185"/>
  <c r="U184"/>
  <c r="T184"/>
  <c r="S184"/>
  <c r="R184"/>
  <c r="U183"/>
  <c r="T183"/>
  <c r="S183"/>
  <c r="R183"/>
  <c r="U182"/>
  <c r="T182"/>
  <c r="S182"/>
  <c r="R182"/>
  <c r="U181"/>
  <c r="T181"/>
  <c r="S181"/>
  <c r="R181"/>
  <c r="U180"/>
  <c r="T180"/>
  <c r="S180"/>
  <c r="R180"/>
  <c r="U179"/>
  <c r="T179"/>
  <c r="S179"/>
  <c r="R179"/>
  <c r="U178"/>
  <c r="T178"/>
  <c r="S178"/>
  <c r="R178"/>
  <c r="U177"/>
  <c r="T177"/>
  <c r="S177"/>
  <c r="R177"/>
  <c r="U176"/>
  <c r="T176"/>
  <c r="S176"/>
  <c r="R176"/>
  <c r="U175"/>
  <c r="T175"/>
  <c r="S175"/>
  <c r="R175"/>
  <c r="U174"/>
  <c r="T174"/>
  <c r="S174"/>
  <c r="R174"/>
  <c r="U173"/>
  <c r="T173"/>
  <c r="S173"/>
  <c r="R173"/>
  <c r="U172"/>
  <c r="T172"/>
  <c r="S172"/>
  <c r="R172"/>
  <c r="U171"/>
  <c r="T171"/>
  <c r="S171"/>
  <c r="R171"/>
  <c r="U170"/>
  <c r="T170"/>
  <c r="S170"/>
  <c r="R170"/>
  <c r="U169"/>
  <c r="T169"/>
  <c r="S169"/>
  <c r="R169"/>
  <c r="U168"/>
  <c r="T168"/>
  <c r="S168"/>
  <c r="R168"/>
  <c r="U167"/>
  <c r="T167"/>
  <c r="S167"/>
  <c r="R167"/>
  <c r="U166"/>
  <c r="T166"/>
  <c r="S166"/>
  <c r="R166"/>
  <c r="U165"/>
  <c r="T165"/>
  <c r="S165"/>
  <c r="R165"/>
  <c r="U164"/>
  <c r="T164"/>
  <c r="S164"/>
  <c r="R164"/>
  <c r="U163"/>
  <c r="T163"/>
  <c r="S163"/>
  <c r="R163"/>
  <c r="U162"/>
  <c r="T162"/>
  <c r="S162"/>
  <c r="R162"/>
  <c r="U161"/>
  <c r="T161"/>
  <c r="S161"/>
  <c r="R161"/>
  <c r="U160"/>
  <c r="T160"/>
  <c r="S160"/>
  <c r="R160"/>
  <c r="U159"/>
  <c r="T159"/>
  <c r="S159"/>
  <c r="R159"/>
  <c r="U158"/>
  <c r="T158"/>
  <c r="S158"/>
  <c r="R158"/>
  <c r="U157"/>
  <c r="T157"/>
  <c r="S157"/>
  <c r="R157"/>
  <c r="U156"/>
  <c r="T156"/>
  <c r="S156"/>
  <c r="R156"/>
  <c r="R150"/>
  <c r="R100"/>
  <c r="T255"/>
  <c r="S255"/>
  <c r="R255"/>
  <c r="T254"/>
  <c r="S254"/>
  <c r="R254"/>
  <c r="Z94"/>
  <c r="Z93"/>
  <c r="Z92"/>
  <c r="Z91"/>
  <c r="Z90"/>
  <c r="Z89"/>
  <c r="Z88"/>
  <c r="Z87"/>
  <c r="Z86"/>
  <c r="Z85"/>
  <c r="Z84"/>
  <c r="Z83"/>
  <c r="Z82"/>
  <c r="Z81"/>
  <c r="Z80"/>
  <c r="Z79"/>
  <c r="Z78"/>
  <c r="Z77"/>
  <c r="Z76"/>
  <c r="Z75"/>
  <c r="Z74"/>
  <c r="Z73"/>
  <c r="Z72"/>
  <c r="Z71"/>
  <c r="Z70"/>
  <c r="Z69"/>
  <c r="Z68"/>
  <c r="Z67"/>
  <c r="Z66"/>
  <c r="Z65"/>
  <c r="Z64"/>
  <c r="Z63"/>
  <c r="Z62"/>
  <c r="Z61"/>
  <c r="Z60"/>
  <c r="Z59"/>
  <c r="Z58"/>
  <c r="Z57"/>
  <c r="Z56"/>
  <c r="Z55"/>
  <c r="Z54"/>
  <c r="Z53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Z4"/>
  <c r="Z3"/>
  <c r="W95"/>
  <c r="W94"/>
  <c r="W93"/>
  <c r="W92"/>
  <c r="W91"/>
  <c r="W90"/>
  <c r="W89"/>
  <c r="W88"/>
  <c r="W87"/>
  <c r="W86"/>
  <c r="W85"/>
  <c r="W84"/>
  <c r="W83"/>
  <c r="W82"/>
  <c r="W81"/>
  <c r="W80"/>
  <c r="W79"/>
  <c r="W78"/>
  <c r="W77"/>
  <c r="W76"/>
  <c r="W75"/>
  <c r="W74"/>
  <c r="W73"/>
  <c r="W72"/>
  <c r="W71"/>
  <c r="W70"/>
  <c r="W69"/>
  <c r="W68"/>
  <c r="W67"/>
  <c r="W66"/>
  <c r="W65"/>
  <c r="W64"/>
  <c r="W63"/>
  <c r="W62"/>
  <c r="W61"/>
  <c r="W60"/>
  <c r="W59"/>
  <c r="W58"/>
  <c r="W57"/>
  <c r="W56"/>
  <c r="W55"/>
  <c r="W54"/>
  <c r="W53"/>
  <c r="W52"/>
  <c r="W51"/>
  <c r="W50"/>
  <c r="W49"/>
  <c r="W48"/>
  <c r="W47"/>
  <c r="W46"/>
  <c r="W45"/>
  <c r="W44"/>
  <c r="W43"/>
  <c r="W42"/>
  <c r="W41"/>
  <c r="W40"/>
  <c r="W39"/>
  <c r="W38"/>
  <c r="W37"/>
  <c r="W36"/>
  <c r="W35"/>
  <c r="W34"/>
  <c r="W33"/>
  <c r="W32"/>
  <c r="W31"/>
  <c r="W30"/>
  <c r="W29"/>
  <c r="W28"/>
  <c r="W27"/>
  <c r="W26"/>
  <c r="W25"/>
  <c r="W24"/>
  <c r="W23"/>
  <c r="W22"/>
  <c r="W21"/>
  <c r="W20"/>
  <c r="W19"/>
  <c r="W18"/>
  <c r="W17"/>
  <c r="W16"/>
  <c r="W15"/>
  <c r="W14"/>
  <c r="W13"/>
  <c r="W12"/>
  <c r="W11"/>
  <c r="W10"/>
  <c r="W9"/>
  <c r="W8"/>
  <c r="W7"/>
  <c r="W6"/>
  <c r="W5"/>
  <c r="W4"/>
  <c r="W3"/>
  <c r="R94" l="1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R56"/>
  <c r="R55"/>
  <c r="R54"/>
  <c r="R53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E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D1"/>
  <c r="C1"/>
  <c r="U155"/>
  <c r="T155"/>
  <c r="S155"/>
  <c r="R155"/>
  <c r="U154"/>
  <c r="T154"/>
  <c r="S154"/>
  <c r="R154"/>
  <c r="U153"/>
  <c r="T153"/>
  <c r="S153"/>
  <c r="R153"/>
  <c r="U152"/>
  <c r="T152"/>
  <c r="S152"/>
  <c r="R152"/>
  <c r="U151"/>
  <c r="T151"/>
  <c r="S151"/>
  <c r="R151"/>
  <c r="U105"/>
  <c r="T105"/>
  <c r="S105"/>
  <c r="U104"/>
  <c r="T104"/>
  <c r="S104"/>
  <c r="U103"/>
  <c r="T103"/>
  <c r="S103"/>
  <c r="U102"/>
  <c r="T102"/>
  <c r="S102"/>
  <c r="U101"/>
  <c r="T101"/>
  <c r="S101"/>
  <c r="R105"/>
  <c r="R104"/>
  <c r="R103"/>
  <c r="R102"/>
  <c r="R101"/>
  <c r="M293" i="35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O392"/>
  <c r="N392"/>
  <c r="P392" s="1"/>
  <c r="M392"/>
  <c r="O391"/>
  <c r="N391"/>
  <c r="M391"/>
  <c r="O390"/>
  <c r="N390"/>
  <c r="P390" s="1"/>
  <c r="M390"/>
  <c r="O389"/>
  <c r="N389"/>
  <c r="M389"/>
  <c r="O388"/>
  <c r="N388"/>
  <c r="P388" s="1"/>
  <c r="M388"/>
  <c r="O387"/>
  <c r="N387"/>
  <c r="M387"/>
  <c r="O386"/>
  <c r="N386"/>
  <c r="P386" s="1"/>
  <c r="M386"/>
  <c r="O385"/>
  <c r="N385"/>
  <c r="M385"/>
  <c r="O384"/>
  <c r="N384"/>
  <c r="P384" s="1"/>
  <c r="M384"/>
  <c r="O383"/>
  <c r="N383"/>
  <c r="M383"/>
  <c r="O382"/>
  <c r="N382"/>
  <c r="P382" s="1"/>
  <c r="M382"/>
  <c r="O381"/>
  <c r="N381"/>
  <c r="M381"/>
  <c r="O380"/>
  <c r="N380"/>
  <c r="P380" s="1"/>
  <c r="M380"/>
  <c r="O379"/>
  <c r="N379"/>
  <c r="M379"/>
  <c r="O378"/>
  <c r="N378"/>
  <c r="P378" s="1"/>
  <c r="M378"/>
  <c r="O377"/>
  <c r="N377"/>
  <c r="M377"/>
  <c r="O376"/>
  <c r="N376"/>
  <c r="P376" s="1"/>
  <c r="M376"/>
  <c r="O375"/>
  <c r="N375"/>
  <c r="M375"/>
  <c r="O374"/>
  <c r="N374"/>
  <c r="P374" s="1"/>
  <c r="M374"/>
  <c r="O373"/>
  <c r="N373"/>
  <c r="M373"/>
  <c r="O372"/>
  <c r="N372"/>
  <c r="P372" s="1"/>
  <c r="M372"/>
  <c r="O371"/>
  <c r="N371"/>
  <c r="M371"/>
  <c r="O370"/>
  <c r="N370"/>
  <c r="P370" s="1"/>
  <c r="M370"/>
  <c r="O369"/>
  <c r="N369"/>
  <c r="M369"/>
  <c r="O368"/>
  <c r="N368"/>
  <c r="P368" s="1"/>
  <c r="M368"/>
  <c r="O367"/>
  <c r="N367"/>
  <c r="M367"/>
  <c r="O366"/>
  <c r="N366"/>
  <c r="P366" s="1"/>
  <c r="M366"/>
  <c r="O365"/>
  <c r="N365"/>
  <c r="M365"/>
  <c r="O364"/>
  <c r="N364"/>
  <c r="P364" s="1"/>
  <c r="M364"/>
  <c r="O363"/>
  <c r="N363"/>
  <c r="M363"/>
  <c r="O362"/>
  <c r="N362"/>
  <c r="P362" s="1"/>
  <c r="M362"/>
  <c r="O361"/>
  <c r="N361"/>
  <c r="M361"/>
  <c r="O360"/>
  <c r="N360"/>
  <c r="M360"/>
  <c r="O359"/>
  <c r="N359"/>
  <c r="M359"/>
  <c r="O358"/>
  <c r="N358"/>
  <c r="M358"/>
  <c r="O357"/>
  <c r="N357"/>
  <c r="M357"/>
  <c r="O356"/>
  <c r="N356"/>
  <c r="M356"/>
  <c r="O355"/>
  <c r="N355"/>
  <c r="M355"/>
  <c r="O354"/>
  <c r="N354"/>
  <c r="M354"/>
  <c r="O353"/>
  <c r="N353"/>
  <c r="M353"/>
  <c r="O352"/>
  <c r="N352"/>
  <c r="M352"/>
  <c r="O351"/>
  <c r="N351"/>
  <c r="M351"/>
  <c r="O350"/>
  <c r="N350"/>
  <c r="M350"/>
  <c r="O349"/>
  <c r="N349"/>
  <c r="M349"/>
  <c r="O348"/>
  <c r="N348"/>
  <c r="M348"/>
  <c r="O347"/>
  <c r="N347"/>
  <c r="M347"/>
  <c r="O346"/>
  <c r="N346"/>
  <c r="M346"/>
  <c r="O345"/>
  <c r="N345"/>
  <c r="M345"/>
  <c r="O344"/>
  <c r="N344"/>
  <c r="M344"/>
  <c r="O343"/>
  <c r="N343"/>
  <c r="M343"/>
  <c r="O342"/>
  <c r="N342"/>
  <c r="M342"/>
  <c r="O341"/>
  <c r="N341"/>
  <c r="M341"/>
  <c r="O340"/>
  <c r="N340"/>
  <c r="M340"/>
  <c r="O339"/>
  <c r="N339"/>
  <c r="M339"/>
  <c r="O338"/>
  <c r="N338"/>
  <c r="M338"/>
  <c r="O337"/>
  <c r="N337"/>
  <c r="M337"/>
  <c r="O336"/>
  <c r="N336"/>
  <c r="M336"/>
  <c r="O335"/>
  <c r="N335"/>
  <c r="M335"/>
  <c r="O334"/>
  <c r="N334"/>
  <c r="M334"/>
  <c r="O333"/>
  <c r="N333"/>
  <c r="M333"/>
  <c r="O332"/>
  <c r="N332"/>
  <c r="M332"/>
  <c r="O331"/>
  <c r="N331"/>
  <c r="M331"/>
  <c r="O330"/>
  <c r="N330"/>
  <c r="M330"/>
  <c r="O329"/>
  <c r="N329"/>
  <c r="M329"/>
  <c r="O328"/>
  <c r="N328"/>
  <c r="M328"/>
  <c r="O327"/>
  <c r="N327"/>
  <c r="M327"/>
  <c r="O326"/>
  <c r="N326"/>
  <c r="M326"/>
  <c r="O325"/>
  <c r="N325"/>
  <c r="M325"/>
  <c r="O324"/>
  <c r="N324"/>
  <c r="M324"/>
  <c r="O323"/>
  <c r="N323"/>
  <c r="M323"/>
  <c r="O322"/>
  <c r="N322"/>
  <c r="M322"/>
  <c r="O321"/>
  <c r="N321"/>
  <c r="M321"/>
  <c r="O320"/>
  <c r="N320"/>
  <c r="M320"/>
  <c r="O319"/>
  <c r="N319"/>
  <c r="M319"/>
  <c r="O318"/>
  <c r="N318"/>
  <c r="M318"/>
  <c r="O317"/>
  <c r="N317"/>
  <c r="M317"/>
  <c r="O316"/>
  <c r="N316"/>
  <c r="M316"/>
  <c r="O315"/>
  <c r="N315"/>
  <c r="M315"/>
  <c r="O314"/>
  <c r="N314"/>
  <c r="M314"/>
  <c r="O313"/>
  <c r="N313"/>
  <c r="M313"/>
  <c r="O312"/>
  <c r="N312"/>
  <c r="M312"/>
  <c r="O311"/>
  <c r="N311"/>
  <c r="M311"/>
  <c r="O310"/>
  <c r="N310"/>
  <c r="M310"/>
  <c r="O309"/>
  <c r="N309"/>
  <c r="M309"/>
  <c r="O308"/>
  <c r="N308"/>
  <c r="M308"/>
  <c r="O307"/>
  <c r="N307"/>
  <c r="M307"/>
  <c r="O306"/>
  <c r="N306"/>
  <c r="M306"/>
  <c r="O305"/>
  <c r="N305"/>
  <c r="M305"/>
  <c r="O304"/>
  <c r="N304"/>
  <c r="M304"/>
  <c r="O303"/>
  <c r="N303"/>
  <c r="M303"/>
  <c r="O302"/>
  <c r="N302"/>
  <c r="M302"/>
  <c r="O301"/>
  <c r="N301"/>
  <c r="M301"/>
  <c r="O292"/>
  <c r="N292"/>
  <c r="O291"/>
  <c r="N291"/>
  <c r="O290"/>
  <c r="N290"/>
  <c r="O289"/>
  <c r="N289"/>
  <c r="O288"/>
  <c r="N288"/>
  <c r="O287"/>
  <c r="N287"/>
  <c r="O286"/>
  <c r="N286"/>
  <c r="O285"/>
  <c r="N285"/>
  <c r="O284"/>
  <c r="N284"/>
  <c r="O283"/>
  <c r="N283"/>
  <c r="O282"/>
  <c r="N282"/>
  <c r="O281"/>
  <c r="N281"/>
  <c r="O280"/>
  <c r="N280"/>
  <c r="O279"/>
  <c r="N279"/>
  <c r="O278"/>
  <c r="N278"/>
  <c r="O277"/>
  <c r="N277"/>
  <c r="O276"/>
  <c r="N276"/>
  <c r="O275"/>
  <c r="N275"/>
  <c r="O274"/>
  <c r="N274"/>
  <c r="O273"/>
  <c r="N273"/>
  <c r="O272"/>
  <c r="N272"/>
  <c r="O271"/>
  <c r="N271"/>
  <c r="O270"/>
  <c r="N270"/>
  <c r="O269"/>
  <c r="N269"/>
  <c r="O268"/>
  <c r="N268"/>
  <c r="O267"/>
  <c r="N267"/>
  <c r="O266"/>
  <c r="N266"/>
  <c r="O265"/>
  <c r="N265"/>
  <c r="O264"/>
  <c r="N264"/>
  <c r="O263"/>
  <c r="N263"/>
  <c r="O262"/>
  <c r="N262"/>
  <c r="O261"/>
  <c r="N261"/>
  <c r="O260"/>
  <c r="N260"/>
  <c r="O259"/>
  <c r="N259"/>
  <c r="O258"/>
  <c r="N258"/>
  <c r="O257"/>
  <c r="N257"/>
  <c r="O256"/>
  <c r="N256"/>
  <c r="O255"/>
  <c r="N255"/>
  <c r="O254"/>
  <c r="N254"/>
  <c r="O253"/>
  <c r="N253"/>
  <c r="O252"/>
  <c r="N252"/>
  <c r="O251"/>
  <c r="N251"/>
  <c r="O250"/>
  <c r="N250"/>
  <c r="O249"/>
  <c r="N249"/>
  <c r="O248"/>
  <c r="N248"/>
  <c r="O247"/>
  <c r="N247"/>
  <c r="O246"/>
  <c r="N246"/>
  <c r="O245"/>
  <c r="N245"/>
  <c r="O244"/>
  <c r="N244"/>
  <c r="O243"/>
  <c r="N243"/>
  <c r="O242"/>
  <c r="N242"/>
  <c r="O241"/>
  <c r="N241"/>
  <c r="O240"/>
  <c r="N240"/>
  <c r="O239"/>
  <c r="N239"/>
  <c r="O238"/>
  <c r="N238"/>
  <c r="O237"/>
  <c r="N237"/>
  <c r="O236"/>
  <c r="N236"/>
  <c r="O235"/>
  <c r="N235"/>
  <c r="O234"/>
  <c r="N234"/>
  <c r="O233"/>
  <c r="N233"/>
  <c r="O232"/>
  <c r="N232"/>
  <c r="O231"/>
  <c r="N231"/>
  <c r="O230"/>
  <c r="N230"/>
  <c r="O229"/>
  <c r="N229"/>
  <c r="O228"/>
  <c r="N228"/>
  <c r="O227"/>
  <c r="N227"/>
  <c r="O226"/>
  <c r="N226"/>
  <c r="O225"/>
  <c r="N225"/>
  <c r="O224"/>
  <c r="N224"/>
  <c r="O223"/>
  <c r="N223"/>
  <c r="O222"/>
  <c r="N222"/>
  <c r="O221"/>
  <c r="N221"/>
  <c r="O220"/>
  <c r="N220"/>
  <c r="O219"/>
  <c r="N219"/>
  <c r="O218"/>
  <c r="N218"/>
  <c r="O217"/>
  <c r="N217"/>
  <c r="O216"/>
  <c r="N216"/>
  <c r="O215"/>
  <c r="N215"/>
  <c r="O214"/>
  <c r="N214"/>
  <c r="O213"/>
  <c r="N213"/>
  <c r="O212"/>
  <c r="N212"/>
  <c r="O211"/>
  <c r="N211"/>
  <c r="O210"/>
  <c r="N210"/>
  <c r="O209"/>
  <c r="N209"/>
  <c r="O208"/>
  <c r="N208"/>
  <c r="O207"/>
  <c r="N207"/>
  <c r="O206"/>
  <c r="N206"/>
  <c r="O205"/>
  <c r="N205"/>
  <c r="O204"/>
  <c r="N204"/>
  <c r="O203"/>
  <c r="N203"/>
  <c r="O202"/>
  <c r="N202"/>
  <c r="O201"/>
  <c r="N201"/>
  <c r="M201"/>
  <c r="M192"/>
  <c r="M191"/>
  <c r="M190"/>
  <c r="M189"/>
  <c r="M188"/>
  <c r="M187"/>
  <c r="M186"/>
  <c r="M185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N3"/>
  <c r="N4" s="1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N58" s="1"/>
  <c r="N59" s="1"/>
  <c r="N60" s="1"/>
  <c r="N61" s="1"/>
  <c r="N62" s="1"/>
  <c r="N63" s="1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N78" s="1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M3"/>
  <c r="M4" s="1"/>
  <c r="M5" s="1"/>
  <c r="M6" s="1"/>
  <c r="M7" s="1"/>
  <c r="M8" s="1"/>
  <c r="M9" s="1"/>
  <c r="M10" s="1"/>
  <c r="M11" s="1"/>
  <c r="M12" s="1"/>
  <c r="M13" s="1"/>
  <c r="M14" s="1"/>
  <c r="M15" s="1"/>
  <c r="M16" s="1"/>
  <c r="M17" s="1"/>
  <c r="M18" s="1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M38" s="1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M58" s="1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P363" l="1"/>
  <c r="P365"/>
  <c r="P367"/>
  <c r="P369"/>
  <c r="P371"/>
  <c r="P373"/>
  <c r="P375"/>
  <c r="P377"/>
  <c r="P379"/>
  <c r="P381"/>
  <c r="P383"/>
  <c r="P385"/>
  <c r="P387"/>
  <c r="P389"/>
  <c r="P391"/>
  <c r="Y3" i="17"/>
  <c r="X3"/>
  <c r="T4"/>
  <c r="S4"/>
  <c r="S5" s="1"/>
  <c r="S6" s="1"/>
  <c r="S7" s="1"/>
  <c r="S8" s="1"/>
  <c r="S9" s="1"/>
  <c r="S10" s="1"/>
  <c r="S11" s="1"/>
  <c r="S12" s="1"/>
  <c r="S13" s="1"/>
  <c r="S14" s="1"/>
  <c r="S15" s="1"/>
  <c r="S16" s="1"/>
  <c r="S17" s="1"/>
  <c r="S18" s="1"/>
  <c r="S19" s="1"/>
  <c r="S20" s="1"/>
  <c r="S21" s="1"/>
  <c r="S22" s="1"/>
  <c r="S23" s="1"/>
  <c r="S24" s="1"/>
  <c r="S25" s="1"/>
  <c r="S26" s="1"/>
  <c r="S27" s="1"/>
  <c r="S28" s="1"/>
  <c r="S29" s="1"/>
  <c r="S30" s="1"/>
  <c r="S31" s="1"/>
  <c r="S32" s="1"/>
  <c r="S33" s="1"/>
  <c r="S34" s="1"/>
  <c r="S35" s="1"/>
  <c r="S36" s="1"/>
  <c r="S37" s="1"/>
  <c r="S38" s="1"/>
  <c r="S39" s="1"/>
  <c r="S40" s="1"/>
  <c r="S41" s="1"/>
  <c r="S42" s="1"/>
  <c r="S43" s="1"/>
  <c r="S44" s="1"/>
  <c r="S45" s="1"/>
  <c r="S46" s="1"/>
  <c r="S47" s="1"/>
  <c r="S48" s="1"/>
  <c r="S49" s="1"/>
  <c r="S50" s="1"/>
  <c r="S51" s="1"/>
  <c r="S52" s="1"/>
  <c r="S53" s="1"/>
  <c r="S54" s="1"/>
  <c r="S55" s="1"/>
  <c r="S56" s="1"/>
  <c r="S57" s="1"/>
  <c r="S58" s="1"/>
  <c r="S59" s="1"/>
  <c r="S60" s="1"/>
  <c r="S61" s="1"/>
  <c r="S62" s="1"/>
  <c r="S63" s="1"/>
  <c r="S64" s="1"/>
  <c r="S65" s="1"/>
  <c r="S66" s="1"/>
  <c r="S67" s="1"/>
  <c r="S68" s="1"/>
  <c r="S69" s="1"/>
  <c r="S70" s="1"/>
  <c r="S71" s="1"/>
  <c r="S72" s="1"/>
  <c r="S73" s="1"/>
  <c r="S74" s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S94" s="1"/>
  <c r="T253"/>
  <c r="T252"/>
  <c r="T251"/>
  <c r="S253"/>
  <c r="S252"/>
  <c r="R253"/>
  <c r="R252"/>
  <c r="R251"/>
  <c r="S251"/>
  <c r="V4"/>
  <c r="V5" s="1"/>
  <c r="V6" s="1"/>
  <c r="V7" s="1"/>
  <c r="V8" s="1"/>
  <c r="V9" s="1"/>
  <c r="V10" s="1"/>
  <c r="V11" s="1"/>
  <c r="V12" s="1"/>
  <c r="V13" s="1"/>
  <c r="V14" s="1"/>
  <c r="V15" s="1"/>
  <c r="V16" s="1"/>
  <c r="V17" s="1"/>
  <c r="V18" s="1"/>
  <c r="V19" s="1"/>
  <c r="V20" s="1"/>
  <c r="V21" s="1"/>
  <c r="V22" s="1"/>
  <c r="V23" s="1"/>
  <c r="V24" s="1"/>
  <c r="V25" s="1"/>
  <c r="V26" s="1"/>
  <c r="V27" s="1"/>
  <c r="V28" s="1"/>
  <c r="V29" s="1"/>
  <c r="V30" s="1"/>
  <c r="V31" s="1"/>
  <c r="V32" s="1"/>
  <c r="V33" s="1"/>
  <c r="V34" s="1"/>
  <c r="V35" s="1"/>
  <c r="V36" s="1"/>
  <c r="V37" s="1"/>
  <c r="V38" s="1"/>
  <c r="V39" s="1"/>
  <c r="V40" s="1"/>
  <c r="V41" s="1"/>
  <c r="V42" s="1"/>
  <c r="V43" s="1"/>
  <c r="V44" s="1"/>
  <c r="V45" s="1"/>
  <c r="V46" s="1"/>
  <c r="V47" s="1"/>
  <c r="V48" s="1"/>
  <c r="V49" s="1"/>
  <c r="V50" s="1"/>
  <c r="V51" s="1"/>
  <c r="V52" s="1"/>
  <c r="V53" s="1"/>
  <c r="V54" s="1"/>
  <c r="V55" s="1"/>
  <c r="V56" s="1"/>
  <c r="V57" s="1"/>
  <c r="V58" s="1"/>
  <c r="V59" s="1"/>
  <c r="V60" s="1"/>
  <c r="V61" s="1"/>
  <c r="V62" s="1"/>
  <c r="V63" s="1"/>
  <c r="V64" s="1"/>
  <c r="V65" s="1"/>
  <c r="V66" s="1"/>
  <c r="V67" s="1"/>
  <c r="V68" s="1"/>
  <c r="V69" s="1"/>
  <c r="V70" s="1"/>
  <c r="V71" s="1"/>
  <c r="V72" s="1"/>
  <c r="V73" s="1"/>
  <c r="V74" s="1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V94" s="1"/>
  <c r="U4"/>
  <c r="U5" s="1"/>
  <c r="U6" s="1"/>
  <c r="U7" s="1"/>
  <c r="U8" s="1"/>
  <c r="U9" s="1"/>
  <c r="U10" s="1"/>
  <c r="U11" s="1"/>
  <c r="U12" s="1"/>
  <c r="U13" s="1"/>
  <c r="U14" s="1"/>
  <c r="U15" s="1"/>
  <c r="U16" s="1"/>
  <c r="U17" s="1"/>
  <c r="U18" s="1"/>
  <c r="U19" s="1"/>
  <c r="U20" s="1"/>
  <c r="U21" s="1"/>
  <c r="U22" s="1"/>
  <c r="U23" s="1"/>
  <c r="U24" s="1"/>
  <c r="U25" s="1"/>
  <c r="U26" s="1"/>
  <c r="U27" s="1"/>
  <c r="U28" s="1"/>
  <c r="U29" s="1"/>
  <c r="U30" s="1"/>
  <c r="U31" s="1"/>
  <c r="U32" s="1"/>
  <c r="U33" s="1"/>
  <c r="U34" s="1"/>
  <c r="U35" s="1"/>
  <c r="U36" s="1"/>
  <c r="U37" s="1"/>
  <c r="U38" s="1"/>
  <c r="U39" s="1"/>
  <c r="U40" s="1"/>
  <c r="U41" s="1"/>
  <c r="U42" s="1"/>
  <c r="U43" s="1"/>
  <c r="U44" s="1"/>
  <c r="U45" s="1"/>
  <c r="U46" s="1"/>
  <c r="U47" s="1"/>
  <c r="U48" s="1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Y4" l="1"/>
  <c r="T5"/>
  <c r="X4"/>
  <c r="Y5" l="1"/>
  <c r="X5"/>
  <c r="T6"/>
  <c r="Y6" l="1"/>
  <c r="X6"/>
  <c r="T7"/>
  <c r="Y7" l="1"/>
  <c r="X7"/>
  <c r="T8"/>
  <c r="Y8" l="1"/>
  <c r="X8"/>
  <c r="T9"/>
  <c r="Y9" l="1"/>
  <c r="X9"/>
  <c r="T10"/>
  <c r="Y10" l="1"/>
  <c r="X10"/>
  <c r="T11"/>
  <c r="Y11" l="1"/>
  <c r="X11"/>
  <c r="T12"/>
  <c r="Y12" l="1"/>
  <c r="X12"/>
  <c r="T13"/>
  <c r="Y13" l="1"/>
  <c r="X13"/>
  <c r="T14"/>
  <c r="Y14" l="1"/>
  <c r="X14"/>
  <c r="T15"/>
  <c r="Y15" l="1"/>
  <c r="X15"/>
  <c r="T16"/>
  <c r="Y16" l="1"/>
  <c r="X16"/>
  <c r="T17"/>
  <c r="Y17" l="1"/>
  <c r="X17"/>
  <c r="T18"/>
  <c r="Y18" l="1"/>
  <c r="X18"/>
  <c r="T19"/>
  <c r="Y19" l="1"/>
  <c r="X19"/>
  <c r="T20"/>
  <c r="Y20" l="1"/>
  <c r="X20"/>
  <c r="T21"/>
  <c r="Y21" l="1"/>
  <c r="X21"/>
  <c r="T22"/>
  <c r="Y22" l="1"/>
  <c r="X22"/>
  <c r="T23"/>
  <c r="Y23" l="1"/>
  <c r="X23"/>
  <c r="T24"/>
  <c r="Y24" l="1"/>
  <c r="X24"/>
  <c r="T25"/>
  <c r="Y25" l="1"/>
  <c r="X25"/>
  <c r="T26"/>
  <c r="Y26" l="1"/>
  <c r="X26"/>
  <c r="T27"/>
  <c r="Y27" l="1"/>
  <c r="X27"/>
  <c r="T28"/>
  <c r="Y28" l="1"/>
  <c r="X28"/>
  <c r="T29"/>
  <c r="Y29" l="1"/>
  <c r="X29"/>
  <c r="T30"/>
  <c r="Y30" l="1"/>
  <c r="X30"/>
  <c r="T31"/>
  <c r="Y31" l="1"/>
  <c r="X31"/>
  <c r="T32"/>
  <c r="Y32" l="1"/>
  <c r="X32"/>
  <c r="T33"/>
  <c r="Y33" l="1"/>
  <c r="X33"/>
  <c r="T34"/>
  <c r="Y34" l="1"/>
  <c r="X34"/>
  <c r="T35"/>
  <c r="Y35" l="1"/>
  <c r="X35"/>
  <c r="T36"/>
  <c r="Y36" l="1"/>
  <c r="X36"/>
  <c r="T37"/>
  <c r="Y37" l="1"/>
  <c r="X37"/>
  <c r="T38"/>
  <c r="Y38" l="1"/>
  <c r="X38"/>
  <c r="T39"/>
  <c r="Y39" l="1"/>
  <c r="X39"/>
  <c r="T40"/>
  <c r="Y40" l="1"/>
  <c r="X40"/>
  <c r="T41"/>
  <c r="Y41" l="1"/>
  <c r="X41"/>
  <c r="T42"/>
  <c r="Y42" l="1"/>
  <c r="X42"/>
  <c r="T43"/>
  <c r="Y43" l="1"/>
  <c r="X43"/>
  <c r="T44"/>
  <c r="Y44" l="1"/>
  <c r="X44"/>
  <c r="T45"/>
  <c r="Y45" l="1"/>
  <c r="X45"/>
  <c r="T46"/>
  <c r="Y46" l="1"/>
  <c r="X46"/>
  <c r="T47"/>
  <c r="Y47" l="1"/>
  <c r="X47"/>
  <c r="T48"/>
  <c r="Y48" l="1"/>
  <c r="X48"/>
  <c r="T49"/>
  <c r="Y49" l="1"/>
  <c r="X49"/>
  <c r="T50"/>
  <c r="Y50" l="1"/>
  <c r="X50"/>
  <c r="T51"/>
  <c r="Y51" l="1"/>
  <c r="X51"/>
  <c r="T52"/>
  <c r="Y52" l="1"/>
  <c r="X52"/>
  <c r="T53"/>
  <c r="Y53" l="1"/>
  <c r="X53"/>
  <c r="T54"/>
  <c r="Y54" l="1"/>
  <c r="X54"/>
  <c r="T55"/>
  <c r="Y55" l="1"/>
  <c r="X55"/>
  <c r="T56"/>
  <c r="Y56" l="1"/>
  <c r="X56"/>
  <c r="T57"/>
  <c r="Y57" l="1"/>
  <c r="X57"/>
  <c r="T58"/>
  <c r="Y58" l="1"/>
  <c r="X58"/>
  <c r="T59"/>
  <c r="Y59" l="1"/>
  <c r="X59"/>
  <c r="T60"/>
  <c r="Y60" l="1"/>
  <c r="X60"/>
  <c r="T61"/>
  <c r="Y61" l="1"/>
  <c r="X61"/>
  <c r="T62"/>
  <c r="Y62" l="1"/>
  <c r="X62"/>
  <c r="T63"/>
  <c r="Y63" l="1"/>
  <c r="X63"/>
  <c r="T64"/>
  <c r="Y64" l="1"/>
  <c r="X64"/>
  <c r="T65"/>
  <c r="Y65" l="1"/>
  <c r="X65"/>
  <c r="T66"/>
  <c r="Y66" l="1"/>
  <c r="X66"/>
  <c r="T67"/>
  <c r="Y67" l="1"/>
  <c r="X67"/>
  <c r="T68"/>
  <c r="Y68" l="1"/>
  <c r="X68"/>
  <c r="T69"/>
  <c r="Y69" l="1"/>
  <c r="X69"/>
  <c r="T70"/>
  <c r="Y70" l="1"/>
  <c r="X70"/>
  <c r="T71"/>
  <c r="Y71" l="1"/>
  <c r="X71"/>
  <c r="T72"/>
  <c r="Y72" l="1"/>
  <c r="X72"/>
  <c r="T73"/>
  <c r="Y73" l="1"/>
  <c r="X73"/>
  <c r="T74"/>
  <c r="Y74" l="1"/>
  <c r="X74"/>
  <c r="T75"/>
  <c r="Y75" l="1"/>
  <c r="X75"/>
  <c r="T76"/>
  <c r="Y76" l="1"/>
  <c r="X76"/>
  <c r="T77"/>
  <c r="Y77" l="1"/>
  <c r="X77"/>
  <c r="T78"/>
  <c r="Y78" l="1"/>
  <c r="X78"/>
  <c r="T79"/>
  <c r="Y79" l="1"/>
  <c r="X79"/>
  <c r="T80"/>
  <c r="Y80" l="1"/>
  <c r="X80"/>
  <c r="T81"/>
  <c r="Y81" l="1"/>
  <c r="X81"/>
  <c r="T82"/>
  <c r="Y82" l="1"/>
  <c r="X82"/>
  <c r="T83"/>
  <c r="Y83" l="1"/>
  <c r="X83"/>
  <c r="T84"/>
  <c r="Y84" l="1"/>
  <c r="X84"/>
  <c r="T85"/>
  <c r="Y85" l="1"/>
  <c r="X85"/>
  <c r="T86"/>
  <c r="Y86" l="1"/>
  <c r="X86"/>
  <c r="T87"/>
  <c r="Y87" l="1"/>
  <c r="X87"/>
  <c r="T88"/>
  <c r="Y88" l="1"/>
  <c r="X88"/>
  <c r="T89"/>
  <c r="Y89" l="1"/>
  <c r="X89"/>
  <c r="T90"/>
  <c r="Y90" l="1"/>
  <c r="X90"/>
  <c r="T91"/>
  <c r="Y91" l="1"/>
  <c r="X91"/>
  <c r="T92"/>
  <c r="Y92" l="1"/>
  <c r="X92"/>
  <c r="T93"/>
  <c r="Y93" l="1"/>
  <c r="X93"/>
  <c r="T94"/>
  <c r="Y94" l="1"/>
  <c r="X94"/>
</calcChain>
</file>

<file path=xl/connections.xml><?xml version="1.0" encoding="utf-8"?>
<connections xmlns="http://schemas.openxmlformats.org/spreadsheetml/2006/main">
  <connection id="1" name="4weeks_latest" type="6" refreshedVersion="3" background="1" saveData="1">
    <textPr prompt="0" codePage="932" sourceFile="c:\kaoru\DK\VTIL\SampleData\vCenterFJ\data\cluster\VS_cluster\cpu.usage.average\4weeks_latest.csv" comma="1">
      <textFields count="5">
        <textField/>
        <textField/>
        <textField/>
        <textField/>
        <textField/>
      </textFields>
    </textPr>
  </connection>
  <connection id="2" name="4weeks_latest1" type="6" refreshedVersion="3" background="1" saveData="1">
    <textPr prompt="0" codePage="932" sourceFile="c:\kaoru\DK\VTIL\SampleData\vCenterFJ\data\cluster\VS_cluster\mem.usage.average\4weeks_latest.csv" comma="1">
      <textFields count="5">
        <textField/>
        <textField/>
        <textField/>
        <textField/>
        <textField/>
      </textFields>
    </textPr>
  </connection>
  <connection id="3" name="4weeks_latest11" type="6" refreshedVersion="3" background="1" saveData="1">
    <textPr prompt="0" codePage="932" sourceFile="c:\kaoru\DK\VTIL\SampleData\vCenterFJ\data\cluster\VS_cluster\mem.usage.average\4weeks_latest.csv" comma="1">
      <textFields count="5">
        <textField/>
        <textField/>
        <textField/>
        <textField/>
        <textField/>
      </textFields>
    </textPr>
  </connection>
  <connection id="4" name="cpu_memory" type="6" refreshedVersion="3" background="1" saveData="1">
    <textPr prompt="0" codePage="932" sourceFile="c:\kaoru\DK\VTIL\SampleData\vCenterFJ\data\cluster\VS_cluster\cpu_memory.csv" comma="1">
      <textFields count="11">
        <textField type="YMD"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cpu_memory12" type="6" refreshedVersion="3" background="1" saveData="1">
    <textPr codePage="932" sourceFile="Z:\data\cluster\VS4u1_Cluster\host\esx01.selab.vmjp.local\cpu_memory.csv" comma="1">
      <textFields count="5">
        <textField type="YMD"/>
        <textField/>
        <textField/>
        <textField/>
        <textField/>
      </textFields>
    </textPr>
  </connection>
  <connection id="6" name="disk2" type="6" refreshedVersion="3" background="1" saveData="1">
    <textPr codePage="932" sourceFile="Z:\data\cluster\VS4u1_Cluster\host\esx01.selab.vmjp.local\disk.csv" comma="1">
      <textFields count="6">
        <textField type="YMD"/>
        <textField/>
        <textField/>
        <textField/>
        <textField/>
        <textField/>
      </textFields>
    </textPr>
  </connection>
  <connection id="7" name="memory2" type="6" refreshedVersion="3" background="1" saveData="1">
    <textPr codePage="932" sourceFile="Z:\data\cluster\VS4u1_Cluster\host\esx01.selab.vmjp.local\memory.csv" comma="1">
      <textFields count="9">
        <textField type="YMD"/>
        <textField/>
        <textField/>
        <textField/>
        <textField/>
        <textField/>
        <textField/>
        <textField/>
        <textField/>
      </textFields>
    </textPr>
  </connection>
  <connection id="8" name="net2" type="6" refreshedVersion="3" background="1" saveData="1">
    <textPr codePage="932" sourceFile="Z:\data\cluster\VS4u1_Cluster\host\esx01.selab.vmjp.local\net.csv" comma="1">
      <textFields count="6">
        <textField type="YMD"/>
        <textField/>
        <textField/>
        <textField/>
        <textField/>
        <textField/>
      </textFields>
    </textPr>
  </connection>
  <connection id="9" name="vm_cpu_breakdown" type="6" refreshedVersion="3" background="1" saveData="1">
    <textPr prompt="0" codePage="932" sourceFile="c:\kaoru\DK\VTIL\SampleData\vCenterFJ\data\cluster\VS_cluster\vm_cpu_breakdown.csv" comma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<sst xmlns="http://schemas.openxmlformats.org/spreadsheetml/2006/main" count="89" uniqueCount="62">
  <si>
    <t>No.</t>
    <phoneticPr fontId="2"/>
  </si>
  <si>
    <t>Mem Usage (%)</t>
    <phoneticPr fontId="2"/>
  </si>
  <si>
    <t>Usage Target (%)</t>
    <phoneticPr fontId="2"/>
  </si>
  <si>
    <t>Usage Limit (%)</t>
    <phoneticPr fontId="2"/>
  </si>
  <si>
    <t>Date</t>
  </si>
  <si>
    <t>Effective CPU (MHz)</t>
  </si>
  <si>
    <t>Effective Mem (MB)</t>
  </si>
  <si>
    <t>CPU Usage (MHz)</t>
  </si>
  <si>
    <t>CPU Usage (%)</t>
  </si>
  <si>
    <t>Mem Consumed (KB)</t>
  </si>
  <si>
    <t>Mem Overhead (KB)</t>
  </si>
  <si>
    <t>Mem Usage (%)</t>
  </si>
  <si>
    <t>Mem Consumed Avg (MB)</t>
  </si>
  <si>
    <t>Mem Consumed Max(MB)</t>
  </si>
  <si>
    <t>Mem Consumed Min (MB)</t>
  </si>
  <si>
    <t>Active Memory (MB)</t>
  </si>
  <si>
    <t>Mem Shared Common (MB)</t>
  </si>
  <si>
    <t>Balloon Memory Max (MB)</t>
  </si>
  <si>
    <t>Swap Memory Max (MB)</t>
  </si>
  <si>
    <t>Granted Memory (MB)</t>
  </si>
  <si>
    <t>Disk Usage Avg(KB/sec)</t>
  </si>
  <si>
    <t xml:space="preserve"> Disk Usage Max (KB/sec)</t>
  </si>
  <si>
    <t>Disk Usage Min (KB/sec)</t>
  </si>
  <si>
    <t xml:space="preserve"> Disk Read Ratio(%)</t>
  </si>
  <si>
    <t xml:space="preserve"> Disk Write Ratio(%)</t>
  </si>
  <si>
    <t>Network Usage Avg(Mbps)</t>
  </si>
  <si>
    <t xml:space="preserve"> Network Usage Max (Mbps)</t>
  </si>
  <si>
    <t>Network Usage Min (Mbps)</t>
  </si>
  <si>
    <t xml:space="preserve"> Receive Ratio(%)</t>
  </si>
  <si>
    <t xml:space="preserve"> Transmit Ratio(%)</t>
  </si>
  <si>
    <t>esx</t>
  </si>
  <si>
    <t>avg</t>
  </si>
  <si>
    <t>cpu</t>
  </si>
  <si>
    <t>min</t>
  </si>
  <si>
    <t>max</t>
  </si>
  <si>
    <t>cpuready</t>
  </si>
  <si>
    <t xml:space="preserve"> Disk Total Latency (ms)</t>
  </si>
  <si>
    <t>Usage Target (MB)</t>
    <phoneticPr fontId="2"/>
  </si>
  <si>
    <t>Usage Limit (MB)</t>
    <phoneticPr fontId="2"/>
  </si>
  <si>
    <t>Mem Consumed (MB)</t>
    <phoneticPr fontId="2"/>
  </si>
  <si>
    <t>Mem Baloon (MB)</t>
  </si>
  <si>
    <t>Mem Swap (MB)</t>
  </si>
  <si>
    <t>Mem Consumed per VM (MB)</t>
    <phoneticPr fontId="2"/>
  </si>
  <si>
    <t>Total Mem (MB)</t>
    <phoneticPr fontId="2"/>
  </si>
  <si>
    <t>Total CPU (GHz)</t>
    <phoneticPr fontId="2"/>
  </si>
  <si>
    <t xml:space="preserve"> CPU Usage (%)</t>
  </si>
  <si>
    <t>Power ON VMs</t>
  </si>
  <si>
    <t>Power ON VMs Mem (MB)</t>
  </si>
  <si>
    <t>データの保存場所</t>
    <rPh sb="4" eb="6">
      <t>ホゾン</t>
    </rPh>
    <rPh sb="6" eb="8">
      <t>バショ</t>
    </rPh>
    <phoneticPr fontId="2"/>
  </si>
  <si>
    <t>キャパシティ分析ブック名</t>
    <rPh sb="6" eb="8">
      <t>ブンセキ</t>
    </rPh>
    <rPh sb="11" eb="12">
      <t>メイ</t>
    </rPh>
    <phoneticPr fontId="2"/>
  </si>
  <si>
    <t>キャパシティ分析ブックパス</t>
    <rPh sb="6" eb="8">
      <t>ブンセキ</t>
    </rPh>
    <phoneticPr fontId="2"/>
  </si>
  <si>
    <t>CapMgmt</t>
    <phoneticPr fontId="2"/>
  </si>
  <si>
    <t>4 weeks ago</t>
  </si>
  <si>
    <t>3 weeks ago</t>
  </si>
  <si>
    <t>2 weeks ago</t>
  </si>
  <si>
    <t>last week</t>
  </si>
  <si>
    <t>vs01.vmdemo.local</t>
  </si>
  <si>
    <t>vs02.vmdemo.local</t>
  </si>
  <si>
    <t>vs03.vmdemo.local</t>
  </si>
  <si>
    <t>vs04.vmdemo.local</t>
  </si>
  <si>
    <t>C:\kaoru\dk\vtil\VTILLAB\data</t>
    <phoneticPr fontId="2"/>
  </si>
  <si>
    <t>C:\kaoru\dk\vtil\VTILLAB\data</t>
    <phoneticPr fontId="2"/>
  </si>
</sst>
</file>

<file path=xl/styles.xml><?xml version="1.0" encoding="utf-8"?>
<styleSheet xmlns="http://schemas.openxmlformats.org/spreadsheetml/2006/main">
  <numFmts count="1">
    <numFmt numFmtId="176" formatCode="0.0_ "/>
  </numFmts>
  <fonts count="10">
    <font>
      <sz val="9"/>
      <color theme="1"/>
      <name val="Arial Unicode MS"/>
      <family val="2"/>
      <charset val="128"/>
    </font>
    <font>
      <sz val="9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9"/>
      <color rgb="FF0070C0"/>
      <name val="Arial Unicode MS"/>
      <family val="2"/>
      <charset val="128"/>
    </font>
    <font>
      <sz val="9"/>
      <color theme="0"/>
      <name val="Arial Unicode MS"/>
      <family val="2"/>
      <charset val="128"/>
    </font>
    <font>
      <sz val="9"/>
      <color theme="1"/>
      <name val="Arial Unicode MS"/>
      <family val="3"/>
      <charset val="128"/>
    </font>
    <font>
      <sz val="9"/>
      <color rgb="FF000000"/>
      <name val="Arial Unicode MS"/>
      <family val="3"/>
      <charset val="128"/>
    </font>
    <font>
      <sz val="9"/>
      <color indexed="8"/>
      <name val="Arial Unicode MS"/>
      <family val="3"/>
      <charset val="128"/>
    </font>
    <font>
      <sz val="9"/>
      <color theme="4" tint="-0.249977111117893"/>
      <name val="Arial Unicode MS"/>
      <family val="3"/>
      <charset val="128"/>
    </font>
    <font>
      <sz val="9"/>
      <name val="Arial Unicode MS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48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0" fillId="0" borderId="0" xfId="0" applyNumberFormat="1" applyFill="1">
      <alignment vertical="center"/>
    </xf>
    <xf numFmtId="38" fontId="0" fillId="0" borderId="0" xfId="1" applyFont="1">
      <alignment vertical="center"/>
    </xf>
    <xf numFmtId="38" fontId="0" fillId="0" borderId="0" xfId="0" applyNumberFormat="1">
      <alignment vertical="center"/>
    </xf>
    <xf numFmtId="14" fontId="3" fillId="0" borderId="0" xfId="0" applyNumberFormat="1" applyFont="1">
      <alignment vertical="center"/>
    </xf>
    <xf numFmtId="0" fontId="3" fillId="3" borderId="0" xfId="0" applyFont="1" applyFill="1">
      <alignment vertical="center"/>
    </xf>
    <xf numFmtId="0" fontId="3" fillId="0" borderId="0" xfId="0" applyFont="1" applyFill="1">
      <alignment vertical="center"/>
    </xf>
    <xf numFmtId="176" fontId="3" fillId="0" borderId="0" xfId="0" applyNumberFormat="1" applyFont="1" applyFill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38" fontId="0" fillId="0" borderId="0" xfId="1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38" fontId="0" fillId="5" borderId="0" xfId="1" applyFont="1" applyFill="1">
      <alignment vertical="center"/>
    </xf>
    <xf numFmtId="0" fontId="5" fillId="0" borderId="0" xfId="2">
      <alignment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14" fontId="8" fillId="4" borderId="4" xfId="0" applyNumberFormat="1" applyFont="1" applyFill="1" applyBorder="1">
      <alignment vertical="center"/>
    </xf>
    <xf numFmtId="0" fontId="8" fillId="4" borderId="0" xfId="0" applyNumberFormat="1" applyFont="1" applyFill="1" applyBorder="1">
      <alignment vertical="center"/>
    </xf>
    <xf numFmtId="0" fontId="8" fillId="4" borderId="0" xfId="0" applyFont="1" applyFill="1" applyBorder="1">
      <alignment vertical="center"/>
    </xf>
    <xf numFmtId="0" fontId="8" fillId="4" borderId="5" xfId="0" applyFont="1" applyFill="1" applyBorder="1">
      <alignment vertical="center"/>
    </xf>
    <xf numFmtId="14" fontId="8" fillId="4" borderId="6" xfId="0" applyNumberFormat="1" applyFont="1" applyFill="1" applyBorder="1">
      <alignment vertical="center"/>
    </xf>
    <xf numFmtId="0" fontId="8" fillId="4" borderId="7" xfId="0" applyNumberFormat="1" applyFont="1" applyFill="1" applyBorder="1">
      <alignment vertical="center"/>
    </xf>
    <xf numFmtId="0" fontId="8" fillId="4" borderId="7" xfId="0" applyFont="1" applyFill="1" applyBorder="1">
      <alignment vertical="center"/>
    </xf>
    <xf numFmtId="0" fontId="8" fillId="4" borderId="8" xfId="0" applyFont="1" applyFill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10" fontId="0" fillId="0" borderId="0" xfId="0" applyNumberFormat="1" applyFill="1">
      <alignment vertical="center"/>
    </xf>
    <xf numFmtId="14" fontId="8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0" xfId="0" applyNumberFormat="1" applyFill="1" applyBorder="1">
      <alignment vertical="center"/>
    </xf>
    <xf numFmtId="0" fontId="0" fillId="4" borderId="0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9" fillId="0" borderId="0" xfId="0" applyFont="1" applyFill="1">
      <alignment vertical="center"/>
    </xf>
  </cellXfs>
  <cellStyles count="3">
    <cellStyle name="桁区切り" xfId="1" builtinId="6"/>
    <cellStyle name="標準" xfId="0" builtinId="0"/>
    <cellStyle name="標準 2" xfId="2"/>
  </cellStyles>
  <dxfs count="0"/>
  <tableStyles count="0" defaultTableStyle="TableStyleMedium9" defaultPivotStyle="PivotStyleLight16"/>
  <colors>
    <mruColors>
      <color rgb="FFCCFF99"/>
      <color rgb="FFCCFFCC"/>
      <color rgb="FF99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クラスタレベル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 </a:t>
            </a:r>
            <a:r>
              <a:rPr lang="en-US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CPU / 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メモリ使用率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/ </a:t>
            </a:r>
            <a:r>
              <a:rPr lang="en-US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Power ON VM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数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
&lt;</a:t>
            </a:r>
            <a:r>
              <a:rPr lang="en-US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cluster&gt;</a:t>
            </a:r>
            <a:endParaRPr lang="en-US" altLang="ja-JP" sz="12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c:rich>
      </c:tx>
      <c:layout>
        <c:manualLayout>
          <c:xMode val="edge"/>
          <c:yMode val="edge"/>
          <c:x val="0.31525458013434343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5.8253473579466752E-2"/>
          <c:y val="9.1303243551810492E-2"/>
          <c:w val="0.88238913614059478"/>
          <c:h val="0.74303783902012643"/>
        </c:manualLayout>
      </c:layout>
      <c:lineChart>
        <c:grouping val="standard"/>
        <c:ser>
          <c:idx val="1"/>
          <c:order val="0"/>
          <c:tx>
            <c:strRef>
              <c:f>'CLSTRDATA-&lt;cluster&gt;'!$AA$2</c:f>
              <c:strCache>
                <c:ptCount val="1"/>
                <c:pt idx="0">
                  <c:v>CPU Usage (%)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name>予測(CPU使用率)</c:name>
            <c:spPr>
              <a:ln>
                <a:solidFill>
                  <a:srgbClr val="00B050"/>
                </a:solidFill>
                <a:prstDash val="sysDash"/>
              </a:ln>
            </c:spPr>
            <c:trendlineType val="linear"/>
            <c:forward val="100"/>
          </c:trendline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'CLSTRDATA-&lt;cluster&gt;'!$AA$3:$AA$93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3.0287466172853192</c:v>
                </c:pt>
                <c:pt idx="47">
                  <c:v>2.7677907942474973</c:v>
                </c:pt>
                <c:pt idx="48">
                  <c:v>2.8376389678133824</c:v>
                </c:pt>
                <c:pt idx="49">
                  <c:v>3.6702619807375636</c:v>
                </c:pt>
                <c:pt idx="50">
                  <c:v>6.1330703326485114</c:v>
                </c:pt>
                <c:pt idx="51">
                  <c:v>6.118226457431776</c:v>
                </c:pt>
                <c:pt idx="52">
                  <c:v>6.473204528565808</c:v>
                </c:pt>
                <c:pt idx="53">
                  <c:v>6.3484431233699024</c:v>
                </c:pt>
                <c:pt idx="54">
                  <c:v>6.496881875537297</c:v>
                </c:pt>
                <c:pt idx="55">
                  <c:v>6.3006330958313264</c:v>
                </c:pt>
                <c:pt idx="56">
                  <c:v>6.3056417653829939</c:v>
                </c:pt>
                <c:pt idx="57">
                  <c:v>6.3140199035421274</c:v>
                </c:pt>
                <c:pt idx="58">
                  <c:v>6.29398522533549</c:v>
                </c:pt>
                <c:pt idx="59">
                  <c:v>6.3945228832451813</c:v>
                </c:pt>
                <c:pt idx="60">
                  <c:v>6.2833304191983217</c:v>
                </c:pt>
                <c:pt idx="61">
                  <c:v>6.2595620055077159</c:v>
                </c:pt>
                <c:pt idx="62">
                  <c:v>8.2347368013501061</c:v>
                </c:pt>
                <c:pt idx="63">
                  <c:v>4.7191811151270109</c:v>
                </c:pt>
                <c:pt idx="64">
                  <c:v>3.3273768159105197</c:v>
                </c:pt>
                <c:pt idx="65">
                  <c:v>3.9426997731375737</c:v>
                </c:pt>
                <c:pt idx="66">
                  <c:v>4.125715609384824</c:v>
                </c:pt>
                <c:pt idx="67">
                  <c:v>4.777562684365785</c:v>
                </c:pt>
                <c:pt idx="68">
                  <c:v>3.1558260844224875</c:v>
                </c:pt>
                <c:pt idx="69">
                  <c:v>3.5890570642770014</c:v>
                </c:pt>
                <c:pt idx="70">
                  <c:v>3.1428946103072954</c:v>
                </c:pt>
                <c:pt idx="71">
                  <c:v>0</c:v>
                </c:pt>
                <c:pt idx="72">
                  <c:v>0</c:v>
                </c:pt>
                <c:pt idx="73">
                  <c:v>3.8361950367985327</c:v>
                </c:pt>
                <c:pt idx="74">
                  <c:v>4.1267982834200634</c:v>
                </c:pt>
                <c:pt idx="75">
                  <c:v>4.8668786699887772</c:v>
                </c:pt>
                <c:pt idx="76">
                  <c:v>4.8050443677055554</c:v>
                </c:pt>
                <c:pt idx="77">
                  <c:v>4.9352437569861216</c:v>
                </c:pt>
                <c:pt idx="78">
                  <c:v>4.4207428130145239</c:v>
                </c:pt>
                <c:pt idx="79">
                  <c:v>4.3828590578601538</c:v>
                </c:pt>
                <c:pt idx="80">
                  <c:v>4.4749275108915834</c:v>
                </c:pt>
                <c:pt idx="81">
                  <c:v>4.41919539281227</c:v>
                </c:pt>
                <c:pt idx="82">
                  <c:v>3.4672742638166385</c:v>
                </c:pt>
                <c:pt idx="83">
                  <c:v>3.2875996269907226</c:v>
                </c:pt>
                <c:pt idx="84">
                  <c:v>3.7288178811324366</c:v>
                </c:pt>
                <c:pt idx="85">
                  <c:v>4.4639084378779232</c:v>
                </c:pt>
                <c:pt idx="86">
                  <c:v>4.4527072314260279</c:v>
                </c:pt>
                <c:pt idx="87">
                  <c:v>4.2602832539231539</c:v>
                </c:pt>
                <c:pt idx="88">
                  <c:v>4.176365590222753</c:v>
                </c:pt>
                <c:pt idx="89">
                  <c:v>3.5165413588611596</c:v>
                </c:pt>
                <c:pt idx="90">
                  <c:v>3.3962746374739146</c:v>
                </c:pt>
              </c:numCache>
            </c:numRef>
          </c:val>
        </c:ser>
        <c:ser>
          <c:idx val="0"/>
          <c:order val="1"/>
          <c:tx>
            <c:strRef>
              <c:f>'CLSTRDATA-&lt;cluster&gt;'!$R$2</c:f>
              <c:strCache>
                <c:ptCount val="1"/>
                <c:pt idx="0">
                  <c:v>Mem Usage (%)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6"/>
            <c:spPr>
              <a:solidFill>
                <a:srgbClr val="0070C0"/>
              </a:solidFill>
              <a:ln>
                <a:noFill/>
              </a:ln>
            </c:spPr>
          </c:marker>
          <c:trendline>
            <c:name>予測(メモリ使用率)</c:name>
            <c:spPr>
              <a:ln w="9525">
                <a:solidFill>
                  <a:srgbClr val="0070C0"/>
                </a:solidFill>
                <a:prstDash val="sysDash"/>
              </a:ln>
            </c:spPr>
            <c:trendlineType val="linear"/>
            <c:forward val="100"/>
          </c:trendline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'CLSTRDATA-&lt;cluster&gt;'!$R$3:$R$93</c:f>
              <c:numCache>
                <c:formatCode>0.0_ 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44.358653531116268</c:v>
                </c:pt>
                <c:pt idx="47">
                  <c:v>41.482304523913868</c:v>
                </c:pt>
                <c:pt idx="48">
                  <c:v>38.245308009243253</c:v>
                </c:pt>
                <c:pt idx="49">
                  <c:v>37.868643755469677</c:v>
                </c:pt>
                <c:pt idx="50">
                  <c:v>38.080789422206564</c:v>
                </c:pt>
                <c:pt idx="51">
                  <c:v>38.291666383339205</c:v>
                </c:pt>
                <c:pt idx="52">
                  <c:v>39.437400545596354</c:v>
                </c:pt>
                <c:pt idx="53">
                  <c:v>38.809386226501857</c:v>
                </c:pt>
                <c:pt idx="54">
                  <c:v>39.500429938979678</c:v>
                </c:pt>
                <c:pt idx="55">
                  <c:v>40.022691776988303</c:v>
                </c:pt>
                <c:pt idx="56">
                  <c:v>40.113535916117335</c:v>
                </c:pt>
                <c:pt idx="57">
                  <c:v>39.920209329980182</c:v>
                </c:pt>
                <c:pt idx="58">
                  <c:v>40.184419346532565</c:v>
                </c:pt>
                <c:pt idx="59">
                  <c:v>40.219967663440272</c:v>
                </c:pt>
                <c:pt idx="60">
                  <c:v>40.232246940127325</c:v>
                </c:pt>
                <c:pt idx="61">
                  <c:v>40.190359117022339</c:v>
                </c:pt>
                <c:pt idx="62">
                  <c:v>39.47177157300569</c:v>
                </c:pt>
                <c:pt idx="63">
                  <c:v>31.298610981953846</c:v>
                </c:pt>
                <c:pt idx="64">
                  <c:v>32.073858913313401</c:v>
                </c:pt>
                <c:pt idx="65">
                  <c:v>29.460136757998441</c:v>
                </c:pt>
                <c:pt idx="66">
                  <c:v>30.099190595312571</c:v>
                </c:pt>
                <c:pt idx="67">
                  <c:v>30.4067185242052</c:v>
                </c:pt>
                <c:pt idx="68">
                  <c:v>33.110699620216245</c:v>
                </c:pt>
                <c:pt idx="69">
                  <c:v>37.779478025074944</c:v>
                </c:pt>
                <c:pt idx="70">
                  <c:v>42.585866043448533</c:v>
                </c:pt>
                <c:pt idx="71">
                  <c:v>0</c:v>
                </c:pt>
                <c:pt idx="72">
                  <c:v>0</c:v>
                </c:pt>
                <c:pt idx="73">
                  <c:v>41.487228691186935</c:v>
                </c:pt>
                <c:pt idx="74">
                  <c:v>48.066081785562467</c:v>
                </c:pt>
                <c:pt idx="75">
                  <c:v>52.953448153612392</c:v>
                </c:pt>
                <c:pt idx="76">
                  <c:v>54.611087706956397</c:v>
                </c:pt>
                <c:pt idx="77">
                  <c:v>55.433643686420844</c:v>
                </c:pt>
                <c:pt idx="78">
                  <c:v>56.511570281157006</c:v>
                </c:pt>
                <c:pt idx="79">
                  <c:v>57.190669471383195</c:v>
                </c:pt>
                <c:pt idx="80">
                  <c:v>55.676337573629773</c:v>
                </c:pt>
                <c:pt idx="81">
                  <c:v>59.514088554580169</c:v>
                </c:pt>
                <c:pt idx="82">
                  <c:v>75.426103252223186</c:v>
                </c:pt>
                <c:pt idx="83">
                  <c:v>75.662492885418018</c:v>
                </c:pt>
                <c:pt idx="84">
                  <c:v>77.519988852759568</c:v>
                </c:pt>
                <c:pt idx="85">
                  <c:v>77.460556946074504</c:v>
                </c:pt>
                <c:pt idx="86">
                  <c:v>76.052570692084842</c:v>
                </c:pt>
                <c:pt idx="87">
                  <c:v>75.20053021736625</c:v>
                </c:pt>
                <c:pt idx="88">
                  <c:v>68.008739618597446</c:v>
                </c:pt>
                <c:pt idx="89">
                  <c:v>63.361567198734761</c:v>
                </c:pt>
                <c:pt idx="90">
                  <c:v>52.797576892117924</c:v>
                </c:pt>
              </c:numCache>
            </c:numRef>
          </c:val>
        </c:ser>
        <c:ser>
          <c:idx val="2"/>
          <c:order val="2"/>
          <c:tx>
            <c:strRef>
              <c:f>'CLSTRDATA-&lt;cluster&gt;'!$U$2</c:f>
              <c:strCache>
                <c:ptCount val="1"/>
                <c:pt idx="0">
                  <c:v>Usage Target (%)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name>Usage Target (%)</c:name>
            <c:spPr>
              <a:ln w="22225">
                <a:solidFill>
                  <a:schemeClr val="accent6"/>
                </a:solidFill>
                <a:prstDash val="sysDash"/>
              </a:ln>
            </c:spPr>
            <c:trendlineType val="linear"/>
            <c:forward val="100"/>
          </c:trendline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'CLSTRDATA-&lt;cluster&gt;'!$U$3:$U$93</c:f>
              <c:numCache>
                <c:formatCode>General</c:formatCode>
                <c:ptCount val="91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</c:numCache>
            </c:numRef>
          </c:val>
        </c:ser>
        <c:ser>
          <c:idx val="3"/>
          <c:order val="3"/>
          <c:tx>
            <c:strRef>
              <c:f>'CLSTRDATA-&lt;cluster&gt;'!$V$2</c:f>
              <c:strCache>
                <c:ptCount val="1"/>
                <c:pt idx="0">
                  <c:v>Usage Limit (%)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name>Usage Limit (%)</c:name>
            <c:spPr>
              <a:ln w="22225">
                <a:solidFill>
                  <a:schemeClr val="accent2"/>
                </a:solidFill>
                <a:prstDash val="sysDash"/>
              </a:ln>
            </c:spPr>
            <c:trendlineType val="linear"/>
            <c:forward val="100"/>
          </c:trendline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'CLSTRDATA-&lt;cluster&gt;'!$V$3:$V$93</c:f>
              <c:numCache>
                <c:formatCode>General</c:formatCode>
                <c:ptCount val="9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</c:numCache>
            </c:numRef>
          </c:val>
        </c:ser>
        <c:marker val="1"/>
        <c:axId val="92493696"/>
        <c:axId val="92512256"/>
      </c:lineChart>
      <c:lineChart>
        <c:grouping val="standard"/>
        <c:ser>
          <c:idx val="4"/>
          <c:order val="4"/>
          <c:tx>
            <c:strRef>
              <c:f>'CLSTRDATA-&lt;cluster&gt;'!$E$2</c:f>
              <c:strCache>
                <c:ptCount val="1"/>
                <c:pt idx="0">
                  <c:v>Power ON VMs</c:v>
                </c:pt>
              </c:strCache>
            </c:strRef>
          </c:tx>
          <c:spPr>
            <a:ln w="22225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'CLSTRDATA-&lt;cluster&gt;'!$B$3:$B$94</c:f>
              <c:numCache>
                <c:formatCode>yyyy/mm/dd</c:formatCode>
                <c:ptCount val="92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  <c:pt idx="91">
                  <c:v>40452</c:v>
                </c:pt>
              </c:numCache>
            </c:numRef>
          </c:cat>
          <c:val>
            <c:numRef>
              <c:f>'CLSTRDATA-&lt;cluster&gt;'!$E$3:$E$93</c:f>
              <c:numCache>
                <c:formatCode>General</c:formatCode>
                <c:ptCount val="91"/>
                <c:pt idx="0">
                  <c:v>36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32</c:v>
                </c:pt>
                <c:pt idx="5">
                  <c:v>31</c:v>
                </c:pt>
                <c:pt idx="6">
                  <c:v>31</c:v>
                </c:pt>
                <c:pt idx="7">
                  <c:v>31</c:v>
                </c:pt>
                <c:pt idx="8">
                  <c:v>30</c:v>
                </c:pt>
                <c:pt idx="9">
                  <c:v>30</c:v>
                </c:pt>
                <c:pt idx="10">
                  <c:v>31</c:v>
                </c:pt>
                <c:pt idx="11">
                  <c:v>31</c:v>
                </c:pt>
                <c:pt idx="12">
                  <c:v>32</c:v>
                </c:pt>
                <c:pt idx="13">
                  <c:v>32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35</c:v>
                </c:pt>
                <c:pt idx="20">
                  <c:v>31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34</c:v>
                </c:pt>
                <c:pt idx="25">
                  <c:v>36</c:v>
                </c:pt>
                <c:pt idx="26">
                  <c:v>27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31</c:v>
                </c:pt>
                <c:pt idx="32">
                  <c:v>36</c:v>
                </c:pt>
                <c:pt idx="33">
                  <c:v>36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33</c:v>
                </c:pt>
                <c:pt idx="41">
                  <c:v>34</c:v>
                </c:pt>
                <c:pt idx="42">
                  <c:v>34</c:v>
                </c:pt>
                <c:pt idx="43">
                  <c:v>34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35</c:v>
                </c:pt>
                <c:pt idx="53">
                  <c:v>35</c:v>
                </c:pt>
                <c:pt idx="54">
                  <c:v>37</c:v>
                </c:pt>
                <c:pt idx="55">
                  <c:v>36</c:v>
                </c:pt>
                <c:pt idx="56">
                  <c:v>36</c:v>
                </c:pt>
                <c:pt idx="57">
                  <c:v>36</c:v>
                </c:pt>
                <c:pt idx="58">
                  <c:v>36</c:v>
                </c:pt>
                <c:pt idx="59">
                  <c:v>36</c:v>
                </c:pt>
                <c:pt idx="60">
                  <c:v>36</c:v>
                </c:pt>
                <c:pt idx="61">
                  <c:v>36</c:v>
                </c:pt>
                <c:pt idx="62">
                  <c:v>39</c:v>
                </c:pt>
                <c:pt idx="63">
                  <c:v>41</c:v>
                </c:pt>
                <c:pt idx="64">
                  <c:v>38</c:v>
                </c:pt>
                <c:pt idx="65">
                  <c:v>38</c:v>
                </c:pt>
                <c:pt idx="66">
                  <c:v>38</c:v>
                </c:pt>
                <c:pt idx="67">
                  <c:v>42</c:v>
                </c:pt>
                <c:pt idx="68">
                  <c:v>38</c:v>
                </c:pt>
                <c:pt idx="69">
                  <c:v>41</c:v>
                </c:pt>
                <c:pt idx="70">
                  <c:v>41</c:v>
                </c:pt>
                <c:pt idx="73">
                  <c:v>35</c:v>
                </c:pt>
                <c:pt idx="74">
                  <c:v>49</c:v>
                </c:pt>
                <c:pt idx="75">
                  <c:v>49</c:v>
                </c:pt>
                <c:pt idx="76">
                  <c:v>50</c:v>
                </c:pt>
                <c:pt idx="77">
                  <c:v>52</c:v>
                </c:pt>
                <c:pt idx="78">
                  <c:v>51</c:v>
                </c:pt>
                <c:pt idx="79">
                  <c:v>50</c:v>
                </c:pt>
                <c:pt idx="80">
                  <c:v>51</c:v>
                </c:pt>
                <c:pt idx="81">
                  <c:v>42</c:v>
                </c:pt>
                <c:pt idx="82">
                  <c:v>42</c:v>
                </c:pt>
                <c:pt idx="83">
                  <c:v>40</c:v>
                </c:pt>
                <c:pt idx="84">
                  <c:v>44</c:v>
                </c:pt>
                <c:pt idx="85">
                  <c:v>41</c:v>
                </c:pt>
                <c:pt idx="86">
                  <c:v>41</c:v>
                </c:pt>
                <c:pt idx="87">
                  <c:v>41</c:v>
                </c:pt>
                <c:pt idx="88">
                  <c:v>39</c:v>
                </c:pt>
                <c:pt idx="89">
                  <c:v>38</c:v>
                </c:pt>
                <c:pt idx="90">
                  <c:v>38</c:v>
                </c:pt>
              </c:numCache>
            </c:numRef>
          </c:val>
        </c:ser>
        <c:marker val="1"/>
        <c:axId val="92520448"/>
        <c:axId val="92514176"/>
      </c:lineChart>
      <c:dateAx>
        <c:axId val="92493696"/>
        <c:scaling>
          <c:orientation val="minMax"/>
          <c:max val="40482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直近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ヶ月間</a:t>
                </a:r>
                <a:r>
                  <a:rPr lang="ja-JP" altLang="en-US" baseline="0">
                    <a:latin typeface="Arial" pitchFamily="34" charset="0"/>
                    <a:cs typeface="Arial" pitchFamily="34" charset="0"/>
                  </a:rPr>
                  <a:t> </a:t>
                </a:r>
                <a:r>
                  <a:rPr lang="en-US" altLang="ja-JP" baseline="0">
                    <a:latin typeface="Arial" pitchFamily="34" charset="0"/>
                    <a:cs typeface="Arial" pitchFamily="34" charset="0"/>
                  </a:rPr>
                  <a:t>-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日次平均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 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(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予測区間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: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 前方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)</a:t>
                </a:r>
                <a:endParaRPr lang="ja-JP" altLang="en-US">
                  <a:latin typeface="Arial" pitchFamily="34" charset="0"/>
                  <a:cs typeface="Arial" pitchFamily="34" charset="0"/>
                </a:endParaRPr>
              </a:p>
            </c:rich>
          </c:tx>
          <c:layout/>
        </c:title>
        <c:numFmt formatCode="yyyy/mm/dd" sourceLinked="1"/>
        <c:tickLblPos val="nextTo"/>
        <c:crossAx val="92512256"/>
        <c:crosses val="autoZero"/>
        <c:auto val="1"/>
        <c:lblOffset val="100"/>
        <c:majorUnit val="7"/>
        <c:majorTimeUnit val="days"/>
      </c:dateAx>
      <c:valAx>
        <c:axId val="92512256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latin typeface="+mn-lt"/>
                    <a:ea typeface="+mn-ea"/>
                    <a:cs typeface="Arial" pitchFamily="34" charset="0"/>
                  </a:defRPr>
                </a:pPr>
                <a:r>
                  <a:rPr lang="en-US" altLang="ja-JP" b="1">
                    <a:latin typeface="+mn-lt"/>
                    <a:ea typeface="+mn-ea"/>
                    <a:cs typeface="Arial" pitchFamily="34" charset="0"/>
                  </a:rPr>
                  <a:t>CPU / </a:t>
                </a:r>
                <a:r>
                  <a:rPr lang="ja-JP" altLang="en-US" b="1">
                    <a:latin typeface="+mn-lt"/>
                    <a:ea typeface="+mn-ea"/>
                    <a:cs typeface="Arial" pitchFamily="34" charset="0"/>
                  </a:rPr>
                  <a:t>メモリ 使用率 </a:t>
                </a:r>
                <a:r>
                  <a:rPr lang="en-US" altLang="ja-JP" b="1">
                    <a:latin typeface="+mn-lt"/>
                    <a:ea typeface="+mn-ea"/>
                    <a:cs typeface="Arial" pitchFamily="34" charset="0"/>
                  </a:rPr>
                  <a:t>(%)</a:t>
                </a:r>
                <a:endParaRPr lang="ja-JP" altLang="en-US" b="1">
                  <a:latin typeface="+mn-lt"/>
                  <a:ea typeface="+mn-ea"/>
                  <a:cs typeface="Arial" pitchFamily="34" charset="0"/>
                </a:endParaRPr>
              </a:p>
            </c:rich>
          </c:tx>
          <c:layout/>
        </c:title>
        <c:numFmt formatCode="General" sourceLinked="1"/>
        <c:tickLblPos val="nextTo"/>
        <c:crossAx val="92493696"/>
        <c:crosses val="autoZero"/>
        <c:crossBetween val="between"/>
      </c:valAx>
      <c:valAx>
        <c:axId val="92514176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 b="1">
                    <a:latin typeface="+mn-lt"/>
                    <a:ea typeface="+mn-ea"/>
                    <a:cs typeface="Arial" pitchFamily="34" charset="0"/>
                  </a:defRPr>
                </a:pPr>
                <a:r>
                  <a:rPr lang="en-US" altLang="ja-JP" b="1">
                    <a:latin typeface="+mn-lt"/>
                    <a:ea typeface="+mn-ea"/>
                    <a:cs typeface="Arial" pitchFamily="34" charset="0"/>
                  </a:rPr>
                  <a:t>Power ON</a:t>
                </a:r>
                <a:r>
                  <a:rPr lang="en-US" altLang="ja-JP" b="1" baseline="0">
                    <a:latin typeface="+mn-lt"/>
                    <a:ea typeface="+mn-ea"/>
                    <a:cs typeface="Arial" pitchFamily="34" charset="0"/>
                  </a:rPr>
                  <a:t> Virtual Machine</a:t>
                </a:r>
                <a:r>
                  <a:rPr lang="en-US" altLang="ja-JP" b="1">
                    <a:latin typeface="+mn-lt"/>
                    <a:ea typeface="+mn-ea"/>
                    <a:cs typeface="Arial" pitchFamily="34" charset="0"/>
                  </a:rPr>
                  <a:t> </a:t>
                </a:r>
                <a:r>
                  <a:rPr lang="en-US" altLang="ja-JP" b="1" baseline="0">
                    <a:latin typeface="+mn-lt"/>
                    <a:ea typeface="+mn-ea"/>
                    <a:cs typeface="Arial" pitchFamily="34" charset="0"/>
                  </a:rPr>
                  <a:t>(VMs)</a:t>
                </a:r>
                <a:endParaRPr lang="ja-JP" altLang="en-US" b="1">
                  <a:latin typeface="+mn-lt"/>
                  <a:ea typeface="+mn-ea"/>
                  <a:cs typeface="Arial" pitchFamily="34" charset="0"/>
                </a:endParaRPr>
              </a:p>
            </c:rich>
          </c:tx>
          <c:layout/>
        </c:title>
        <c:numFmt formatCode="General" sourceLinked="0"/>
        <c:tickLblPos val="nextTo"/>
        <c:crossAx val="92520448"/>
        <c:crosses val="max"/>
        <c:crossBetween val="between"/>
      </c:valAx>
      <c:dateAx>
        <c:axId val="92520448"/>
        <c:scaling>
          <c:orientation val="minMax"/>
        </c:scaling>
        <c:delete val="1"/>
        <c:axPos val="b"/>
        <c:numFmt formatCode="yyyy/mm/dd" sourceLinked="1"/>
        <c:tickLblPos val="none"/>
        <c:crossAx val="92514176"/>
        <c:crosses val="autoZero"/>
        <c:auto val="1"/>
        <c:lblOffset val="100"/>
      </c:date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7226218831408955"/>
          <c:y val="0.39178597474379301"/>
          <c:w val="0.13441770042171974"/>
          <c:h val="0.23387301335820337"/>
        </c:manualLayout>
      </c:layout>
      <c:overlay val="1"/>
      <c:spPr>
        <a:solidFill>
          <a:sysClr val="window" lastClr="FFFFFF">
            <a:lumMod val="95000"/>
          </a:sysClr>
        </a:solidFill>
      </c:spPr>
    </c:legend>
    <c:plotVisOnly val="1"/>
    <c:dispBlanksAs val="gap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050" b="1" i="0" baseline="0"/>
              <a:t>キャパシティ分析グラフ </a:t>
            </a:r>
            <a:r>
              <a:rPr lang="en-US" altLang="ja-JP" sz="1050" b="1" i="0" baseline="0"/>
              <a:t>(</a:t>
            </a:r>
            <a:r>
              <a:rPr lang="ja-JP" altLang="en-US" sz="1050" b="1" i="0" baseline="0"/>
              <a:t>クラスタレベル</a:t>
            </a:r>
            <a:r>
              <a:rPr lang="en-US" altLang="ja-JP" sz="1050" b="1" i="0" baseline="0"/>
              <a:t>: </a:t>
            </a:r>
            <a:r>
              <a:rPr lang="en-US" altLang="en-US" sz="1050" b="1" i="0" baseline="0"/>
              <a:t>ESX</a:t>
            </a:r>
            <a:r>
              <a:rPr lang="ja-JP" altLang="en-US" sz="1050" b="1" i="0" baseline="0"/>
              <a:t>ホスト毎の</a:t>
            </a:r>
            <a:r>
              <a:rPr lang="en-US" altLang="en-US" sz="1050" b="1" i="0" baseline="0"/>
              <a:t>CPU</a:t>
            </a:r>
            <a:r>
              <a:rPr lang="ja-JP" altLang="en-US" sz="1050" b="1" i="0" baseline="0"/>
              <a:t>使用率</a:t>
            </a:r>
            <a:r>
              <a:rPr lang="en-US" altLang="ja-JP" sz="1050" b="1" i="0" baseline="0"/>
              <a:t>)
&lt;</a:t>
            </a:r>
            <a:r>
              <a:rPr lang="en-US" altLang="en-US" sz="1050" b="1" i="0" baseline="0"/>
              <a:t>cluster&gt;</a:t>
            </a:r>
            <a:endParaRPr lang="en-US" altLang="ja-JP" sz="1050"/>
          </a:p>
        </c:rich>
      </c:tx>
      <c:layout>
        <c:manualLayout>
          <c:xMode val="edge"/>
          <c:yMode val="edge"/>
          <c:x val="0.26640954992985666"/>
          <c:y val="3.234517473025369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5540032252272765"/>
          <c:y val="0.26415102165395477"/>
          <c:w val="0.65793240732549285"/>
          <c:h val="0.73584905660378641"/>
        </c:manualLayout>
      </c:layout>
      <c:barChart>
        <c:barDir val="bar"/>
        <c:grouping val="clustered"/>
        <c:ser>
          <c:idx val="0"/>
          <c:order val="0"/>
          <c:tx>
            <c:v>Last Week</c:v>
          </c:tx>
          <c:spPr>
            <a:solidFill>
              <a:srgbClr val="00B050"/>
            </a:solidFill>
          </c:spPr>
          <c:cat>
            <c:strRef>
              <c:f>'CLSTRDATA-&lt;cluster&gt;'!$B$102:$B$105</c:f>
              <c:strCache>
                <c:ptCount val="4"/>
                <c:pt idx="0">
                  <c:v>vs01.vmdemo.local</c:v>
                </c:pt>
                <c:pt idx="1">
                  <c:v>vs02.vmdemo.local</c:v>
                </c:pt>
                <c:pt idx="2">
                  <c:v>vs03.vmdemo.local</c:v>
                </c:pt>
                <c:pt idx="3">
                  <c:v>vs04.vmdemo.local</c:v>
                </c:pt>
              </c:strCache>
            </c:strRef>
          </c:cat>
          <c:val>
            <c:numRef>
              <c:f>'CLSTRDATA-&lt;cluster&gt;'!$U$102:$U$105</c:f>
              <c:numCache>
                <c:formatCode>0.00%</c:formatCode>
                <c:ptCount val="4"/>
                <c:pt idx="0">
                  <c:v>5.5386086961497397E-2</c:v>
                </c:pt>
                <c:pt idx="1">
                  <c:v>2.7649130468783197E-2</c:v>
                </c:pt>
                <c:pt idx="2">
                  <c:v>8.3668260823125409E-2</c:v>
                </c:pt>
                <c:pt idx="3">
                  <c:v>4.2886521790338597E-2</c:v>
                </c:pt>
              </c:numCache>
            </c:numRef>
          </c:val>
        </c:ser>
        <c:ser>
          <c:idx val="1"/>
          <c:order val="1"/>
          <c:tx>
            <c:v>2 Weeks Ago</c:v>
          </c:tx>
          <c:spPr>
            <a:solidFill>
              <a:schemeClr val="accent5"/>
            </a:solidFill>
          </c:spPr>
          <c:cat>
            <c:strRef>
              <c:f>'CLSTRDATA-&lt;cluster&gt;'!$B$105:$B$105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'CLSTRDATA-&lt;cluster&gt;'!$T$102:$T$105</c:f>
              <c:numCache>
                <c:formatCode>0.00%</c:formatCode>
                <c:ptCount val="4"/>
                <c:pt idx="0">
                  <c:v>4.96158681087151E-2</c:v>
                </c:pt>
                <c:pt idx="1">
                  <c:v>2.5490606076789598E-2</c:v>
                </c:pt>
                <c:pt idx="2">
                  <c:v>8.218636337916059E-2</c:v>
                </c:pt>
                <c:pt idx="3">
                  <c:v>6.1044910482303802E-2</c:v>
                </c:pt>
              </c:numCache>
            </c:numRef>
          </c:val>
        </c:ser>
        <c:ser>
          <c:idx val="2"/>
          <c:order val="2"/>
          <c:tx>
            <c:v>3 Weeks Ago</c:v>
          </c:tx>
          <c:spPr>
            <a:solidFill>
              <a:schemeClr val="accent5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'CLSTRDATA-&lt;cluster&gt;'!$B$105:$B$105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'CLSTRDATA-&lt;cluster&gt;'!$S$102:$S$105</c:f>
              <c:numCache>
                <c:formatCode>0.00%</c:formatCode>
                <c:ptCount val="4"/>
                <c:pt idx="0">
                  <c:v>3.2025842633140199E-2</c:v>
                </c:pt>
                <c:pt idx="1">
                  <c:v>2.2441242852453497E-2</c:v>
                </c:pt>
                <c:pt idx="2">
                  <c:v>7.4422174080558401E-2</c:v>
                </c:pt>
                <c:pt idx="3">
                  <c:v>9.63225109339792E-2</c:v>
                </c:pt>
              </c:numCache>
            </c:numRef>
          </c:val>
        </c:ser>
        <c:ser>
          <c:idx val="3"/>
          <c:order val="3"/>
          <c:tx>
            <c:v>4 Weeks Ago</c:v>
          </c:tx>
          <c:spPr>
            <a:solidFill>
              <a:schemeClr val="accent3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'CLSTRDATA-&lt;cluster&gt;'!$B$105:$B$105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'CLSTRDATA-&lt;cluster&gt;'!$R$102:$R$105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7.0707942139801097E-2</c:v>
                </c:pt>
                <c:pt idx="3">
                  <c:v>6.8524909587543398E-2</c:v>
                </c:pt>
              </c:numCache>
            </c:numRef>
          </c:val>
        </c:ser>
        <c:overlap val="-20"/>
        <c:axId val="92610560"/>
        <c:axId val="92612480"/>
      </c:barChart>
      <c:catAx>
        <c:axId val="92610560"/>
        <c:scaling>
          <c:orientation val="maxMin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b="1">
                    <a:latin typeface="+mn-lt"/>
                    <a:ea typeface="+mn-ea"/>
                  </a:rPr>
                  <a:t>ESX</a:t>
                </a:r>
                <a:r>
                  <a:rPr lang="ja-JP" altLang="en-US" b="1">
                    <a:latin typeface="+mn-lt"/>
                    <a:ea typeface="+mn-ea"/>
                  </a:rPr>
                  <a:t> ホスト名</a:t>
                </a:r>
              </a:p>
            </c:rich>
          </c:tx>
          <c:layout>
            <c:manualLayout>
              <c:xMode val="edge"/>
              <c:yMode val="edge"/>
              <c:x val="2.5117225515350016E-2"/>
              <c:y val="0.49864325618515559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92612480"/>
        <c:crosses val="autoZero"/>
        <c:auto val="1"/>
        <c:lblAlgn val="ctr"/>
        <c:lblOffset val="100"/>
      </c:catAx>
      <c:valAx>
        <c:axId val="92612480"/>
        <c:scaling>
          <c:orientation val="minMax"/>
          <c:max val="1"/>
        </c:scaling>
        <c:axPos val="t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numFmt formatCode="0%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92610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52908835833772"/>
          <c:y val="0.72624190132658395"/>
          <c:w val="0.14922713312521438"/>
          <c:h val="0.18328832965358233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algn="ctr"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050" b="1" i="0" baseline="0"/>
              <a:t>キャパシティ分析グラフ </a:t>
            </a:r>
            <a:r>
              <a:rPr lang="en-US" altLang="ja-JP" sz="1050" b="1" i="0" baseline="0"/>
              <a:t>(</a:t>
            </a:r>
            <a:r>
              <a:rPr lang="ja-JP" altLang="en-US" sz="1050" b="1" i="0" baseline="0"/>
              <a:t>クラスタレベル</a:t>
            </a:r>
            <a:r>
              <a:rPr lang="en-US" altLang="ja-JP" sz="1050" b="1" i="0" baseline="0"/>
              <a:t>: </a:t>
            </a:r>
            <a:r>
              <a:rPr lang="en-US" altLang="en-US" sz="1050" b="1" i="0" baseline="0"/>
              <a:t>ESX</a:t>
            </a:r>
            <a:r>
              <a:rPr lang="ja-JP" altLang="en-US" sz="1050" b="1" i="0" baseline="0"/>
              <a:t>ホスト毎のメモリ使用率</a:t>
            </a:r>
            <a:r>
              <a:rPr lang="en-US" altLang="ja-JP" sz="1050" b="1" i="0" baseline="0"/>
              <a:t>)
&lt;</a:t>
            </a:r>
            <a:r>
              <a:rPr lang="en-US" altLang="en-US" sz="1050" b="1" i="0" baseline="0"/>
              <a:t>cluster&gt;</a:t>
            </a:r>
            <a:endParaRPr lang="en-US" altLang="ja-JP" sz="1050" b="0" i="0" baseline="0"/>
          </a:p>
        </c:rich>
      </c:tx>
      <c:layout>
        <c:manualLayout>
          <c:xMode val="edge"/>
          <c:yMode val="edge"/>
          <c:x val="0.26675524276900259"/>
          <c:y val="3.246157329375361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296732046770707"/>
          <c:y val="0.21911670690921389"/>
          <c:w val="0.65995499660739299"/>
          <c:h val="0.74120960114969081"/>
        </c:manualLayout>
      </c:layout>
      <c:barChart>
        <c:barDir val="bar"/>
        <c:grouping val="clustered"/>
        <c:ser>
          <c:idx val="0"/>
          <c:order val="0"/>
          <c:tx>
            <c:v>Last Week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'CLSTRDATA-&lt;cluster&gt;'!$B$152:$B$155</c:f>
              <c:strCache>
                <c:ptCount val="4"/>
                <c:pt idx="0">
                  <c:v>vs01.vmdemo.local</c:v>
                </c:pt>
                <c:pt idx="1">
                  <c:v>vs02.vmdemo.local</c:v>
                </c:pt>
                <c:pt idx="2">
                  <c:v>vs03.vmdemo.local</c:v>
                </c:pt>
                <c:pt idx="3">
                  <c:v>vs04.vmdemo.local</c:v>
                </c:pt>
              </c:strCache>
            </c:strRef>
          </c:cat>
          <c:val>
            <c:numRef>
              <c:f>'CLSTRDATA-&lt;cluster&gt;'!$U$152:$U$155</c:f>
              <c:numCache>
                <c:formatCode>0.00%</c:formatCode>
                <c:ptCount val="4"/>
                <c:pt idx="0">
                  <c:v>0.708526841035653</c:v>
                </c:pt>
                <c:pt idx="1">
                  <c:v>0.55385151702088198</c:v>
                </c:pt>
                <c:pt idx="2">
                  <c:v>0.60568441696497299</c:v>
                </c:pt>
                <c:pt idx="3">
                  <c:v>0.75777229408165103</c:v>
                </c:pt>
              </c:numCache>
            </c:numRef>
          </c:val>
        </c:ser>
        <c:ser>
          <c:idx val="1"/>
          <c:order val="1"/>
          <c:tx>
            <c:v>2 Weeks Ago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</c:spPr>
          <c:cat>
            <c:strRef>
              <c:f>'CLSTRDATA-&lt;cluster&gt;'!$B$155:$B$155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'CLSTRDATA-&lt;cluster&gt;'!$T$152:$T$155</c:f>
              <c:numCache>
                <c:formatCode>0.00%</c:formatCode>
                <c:ptCount val="4"/>
                <c:pt idx="0">
                  <c:v>0.58723473223383604</c:v>
                </c:pt>
                <c:pt idx="1">
                  <c:v>0.54331939362034698</c:v>
                </c:pt>
                <c:pt idx="2">
                  <c:v>0.74580363603071698</c:v>
                </c:pt>
                <c:pt idx="3">
                  <c:v>0.83414640769273207</c:v>
                </c:pt>
              </c:numCache>
            </c:numRef>
          </c:val>
        </c:ser>
        <c:ser>
          <c:idx val="2"/>
          <c:order val="2"/>
          <c:tx>
            <c:v>3 Weeks Ago</c:v>
          </c:tx>
          <c:spPr>
            <a:solidFill>
              <a:schemeClr val="accent1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'CLSTRDATA-&lt;cluster&gt;'!$B$155:$B$155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'CLSTRDATA-&lt;cluster&gt;'!$S$152:$S$155</c:f>
              <c:numCache>
                <c:formatCode>0.00%</c:formatCode>
                <c:ptCount val="4"/>
                <c:pt idx="0">
                  <c:v>0.287710674050149</c:v>
                </c:pt>
                <c:pt idx="1">
                  <c:v>0.42496271160362803</c:v>
                </c:pt>
                <c:pt idx="2">
                  <c:v>0.6524504349750021</c:v>
                </c:pt>
                <c:pt idx="3">
                  <c:v>0.775574460050244</c:v>
                </c:pt>
              </c:numCache>
            </c:numRef>
          </c:val>
        </c:ser>
        <c:ser>
          <c:idx val="3"/>
          <c:order val="3"/>
          <c:tx>
            <c:v>4 Weeks Ago</c:v>
          </c:tx>
          <c:spPr>
            <a:solidFill>
              <a:schemeClr val="tx2">
                <a:lumMod val="20000"/>
                <a:lumOff val="8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'CLSTRDATA-&lt;cluster&gt;'!$B$155:$B$155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'CLSTRDATA-&lt;cluster&gt;'!$R$152:$R$155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0.51689061257813396</c:v>
                </c:pt>
                <c:pt idx="3">
                  <c:v>0.57868158911970102</c:v>
                </c:pt>
              </c:numCache>
            </c:numRef>
          </c:val>
        </c:ser>
        <c:overlap val="-20"/>
        <c:axId val="95846400"/>
        <c:axId val="95848320"/>
      </c:barChart>
      <c:catAx>
        <c:axId val="95846400"/>
        <c:scaling>
          <c:orientation val="maxMin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b="1">
                    <a:latin typeface="+mn-lt"/>
                    <a:ea typeface="+mn-ea"/>
                  </a:rPr>
                  <a:t>ESX </a:t>
                </a:r>
                <a:r>
                  <a:rPr lang="ja-JP" altLang="en-US" b="1">
                    <a:latin typeface="+mn-lt"/>
                    <a:ea typeface="+mn-ea"/>
                  </a:rPr>
                  <a:t>ホスト名</a:t>
                </a:r>
              </a:p>
            </c:rich>
          </c:tx>
          <c:layout/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95848320"/>
        <c:crosses val="autoZero"/>
        <c:auto val="1"/>
        <c:lblAlgn val="ctr"/>
        <c:lblOffset val="100"/>
      </c:catAx>
      <c:valAx>
        <c:axId val="95848320"/>
        <c:scaling>
          <c:orientation val="minMax"/>
          <c:max val="1"/>
        </c:scaling>
        <c:axPos val="t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numFmt formatCode="0%" sourceLinked="0"/>
        <c:tickLblPos val="nextTo"/>
        <c:spPr>
          <a:ln>
            <a:solidFill>
              <a:schemeClr val="bg1">
                <a:lumMod val="50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958464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646922190838367"/>
          <c:y val="0.73165027294911411"/>
          <c:w val="0.14783178956337942"/>
          <c:h val="0.18665490343118879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/>
    <c:pageMargins b="0.98399999999999999" l="0.78700000000000003" r="0.78700000000000003" t="0.98399999999999999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 pitchFamily="34" charset="0"/>
                <a:ea typeface="ＭＳ Ｐゴシック"/>
                <a:cs typeface="Arial" pitchFamily="34" charset="0"/>
              </a:defRPr>
            </a:pP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キャパシティ分析グラフ </a:t>
            </a:r>
            <a:r>
              <a:rPr lang="en-US" altLang="ja-JP" sz="1050" b="1" i="0" baseline="0">
                <a:latin typeface="Arial" pitchFamily="34" charset="0"/>
                <a:cs typeface="Arial" pitchFamily="34" charset="0"/>
              </a:rPr>
              <a:t>(</a:t>
            </a: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仮想マシンレベル</a:t>
            </a:r>
            <a:r>
              <a:rPr lang="en-US" altLang="ja-JP" sz="1050" b="1" i="0" baseline="0">
                <a:latin typeface="Arial" pitchFamily="34" charset="0"/>
                <a:cs typeface="Arial" pitchFamily="34" charset="0"/>
              </a:rPr>
              <a:t>: </a:t>
            </a: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割り当て</a:t>
            </a:r>
            <a:r>
              <a:rPr lang="en-US" altLang="en-US" sz="1050" b="1" i="0" baseline="0">
                <a:latin typeface="Arial" pitchFamily="34" charset="0"/>
                <a:cs typeface="Arial" pitchFamily="34" charset="0"/>
              </a:rPr>
              <a:t>vCPU</a:t>
            </a: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毎の</a:t>
            </a:r>
            <a:r>
              <a:rPr lang="en-US" altLang="en-US" sz="1050" b="1" i="0" baseline="0">
                <a:latin typeface="Arial" pitchFamily="34" charset="0"/>
                <a:cs typeface="Arial" pitchFamily="34" charset="0"/>
              </a:rPr>
              <a:t>CPU</a:t>
            </a: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使用率と</a:t>
            </a:r>
            <a:r>
              <a:rPr lang="en-US" altLang="en-US" sz="1050" b="1" i="0" baseline="0">
                <a:latin typeface="Arial" pitchFamily="34" charset="0"/>
                <a:cs typeface="Arial" pitchFamily="34" charset="0"/>
              </a:rPr>
              <a:t>CPU</a:t>
            </a:r>
            <a:r>
              <a:rPr lang="ja-JP" altLang="en-US" sz="1050" b="1" i="0" baseline="0">
                <a:latin typeface="Arial" pitchFamily="34" charset="0"/>
                <a:cs typeface="Arial" pitchFamily="34" charset="0"/>
              </a:rPr>
              <a:t>待機時間</a:t>
            </a:r>
            <a:r>
              <a:rPr lang="en-US" altLang="ja-JP" sz="1050" b="1" i="0" baseline="0">
                <a:latin typeface="Arial" pitchFamily="34" charset="0"/>
                <a:cs typeface="Arial" pitchFamily="34" charset="0"/>
              </a:rPr>
              <a:t>)
&lt;</a:t>
            </a:r>
            <a:r>
              <a:rPr lang="en-US" altLang="en-US" sz="1050" b="1" i="0" baseline="0">
                <a:latin typeface="Arial" pitchFamily="34" charset="0"/>
                <a:cs typeface="Arial" pitchFamily="34" charset="0"/>
              </a:rPr>
              <a:t>cluster&gt;</a:t>
            </a:r>
            <a:endParaRPr lang="en-US" altLang="ja-JP" sz="1050" b="0" i="0" baseline="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13359424173101991"/>
          <c:y val="2.800083617866366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1597210638642012"/>
          <c:y val="0.14591048096166662"/>
          <c:w val="0.74185786180674251"/>
          <c:h val="0.75166023299395013"/>
        </c:manualLayout>
      </c:layout>
      <c:barChart>
        <c:barDir val="col"/>
        <c:grouping val="stacked"/>
        <c:ser>
          <c:idx val="0"/>
          <c:order val="0"/>
          <c:spPr>
            <a:noFill/>
            <a:ln w="25400">
              <a:noFill/>
            </a:ln>
          </c:spPr>
          <c:cat>
            <c:numRef>
              <c:f>'CLSTRDATA-&lt;cluster&gt;'!$B$252:$B$255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numCache>
            </c:numRef>
          </c:cat>
          <c:val>
            <c:numRef>
              <c:f>'CLSTRDATA-&lt;cluster&gt;'!$R$252:$R$255</c:f>
              <c:numCache>
                <c:formatCode>General</c:formatCode>
                <c:ptCount val="4"/>
                <c:pt idx="0">
                  <c:v>9.3634867668151902E-3</c:v>
                </c:pt>
                <c:pt idx="1">
                  <c:v>1.1733333110809301E-2</c:v>
                </c:pt>
                <c:pt idx="2">
                  <c:v>1.6902083337307E-2</c:v>
                </c:pt>
                <c:pt idx="3">
                  <c:v>2.3322916775941798E-3</c:v>
                </c:pt>
              </c:numCache>
            </c:numRef>
          </c:val>
        </c:ser>
        <c:ser>
          <c:idx val="1"/>
          <c:order val="1"/>
          <c:tx>
            <c:v>CPU使用率</c:v>
          </c:tx>
          <c:spPr>
            <a:gradFill flip="none" rotWithShape="1">
              <a:gsLst>
                <a:gs pos="50000">
                  <a:srgbClr val="92D050"/>
                </a:gs>
                <a:gs pos="100000">
                  <a:schemeClr val="accent3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  <a:ln w="9525">
              <a:noFill/>
              <a:prstDash val="solid"/>
            </a:ln>
          </c:spPr>
          <c:dPt>
            <c:idx val="1"/>
            <c:spPr>
              <a:gradFill flip="none" rotWithShape="1">
                <a:gsLst>
                  <a:gs pos="50000">
                    <a:srgbClr val="0070C0"/>
                  </a:gs>
                  <a:gs pos="100000">
                    <a:schemeClr val="tx2">
                      <a:lumMod val="20000"/>
                      <a:lumOff val="80000"/>
                    </a:schemeClr>
                  </a:gs>
                </a:gsLst>
                <a:lin ang="5400000" scaled="1"/>
                <a:tileRect/>
              </a:gradFill>
              <a:ln w="9525">
                <a:noFill/>
                <a:prstDash val="solid"/>
              </a:ln>
            </c:spPr>
          </c:dPt>
          <c:cat>
            <c:numRef>
              <c:f>'CLSTRDATA-&lt;cluster&gt;'!$B$252:$B$255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numCache>
            </c:numRef>
          </c:cat>
          <c:val>
            <c:numRef>
              <c:f>'CLSTRDATA-&lt;cluster&gt;'!$S$252:$S$255</c:f>
              <c:numCache>
                <c:formatCode>General</c:formatCode>
                <c:ptCount val="4"/>
                <c:pt idx="0">
                  <c:v>4.6251912829668618E-2</c:v>
                </c:pt>
                <c:pt idx="1">
                  <c:v>9.7304554492235712E-2</c:v>
                </c:pt>
                <c:pt idx="2">
                  <c:v>4.61858330368995E-2</c:v>
                </c:pt>
                <c:pt idx="3">
                  <c:v>1.8011739378174119E-2</c:v>
                </c:pt>
              </c:numCache>
            </c:numRef>
          </c:val>
        </c:ser>
        <c:gapWidth val="200"/>
        <c:overlap val="100"/>
        <c:axId val="96429568"/>
        <c:axId val="96431488"/>
      </c:barChart>
      <c:lineChart>
        <c:grouping val="standard"/>
        <c:ser>
          <c:idx val="2"/>
          <c:order val="2"/>
          <c:tx>
            <c:v>平均値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70C0"/>
              </a:solidFill>
              <a:ln>
                <a:noFill/>
                <a:prstDash val="solid"/>
              </a:ln>
            </c:spPr>
          </c:marker>
          <c:cat>
            <c:numRef>
              <c:f>'CLSTRDATA-&lt;cluster&gt;'!$B$252:$B$255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numCache>
            </c:numRef>
          </c:cat>
          <c:val>
            <c:numRef>
              <c:f>'CLSTRDATA-&lt;cluster&gt;'!$T$252:$T$255</c:f>
              <c:numCache>
                <c:formatCode>General</c:formatCode>
                <c:ptCount val="4"/>
                <c:pt idx="0">
                  <c:v>1.9223817206131699E-2</c:v>
                </c:pt>
                <c:pt idx="1">
                  <c:v>2.8240226966542503E-2</c:v>
                </c:pt>
                <c:pt idx="2">
                  <c:v>2.2555407996608202E-2</c:v>
                </c:pt>
                <c:pt idx="3">
                  <c:v>7.3088699168917101E-3</c:v>
                </c:pt>
              </c:numCache>
            </c:numRef>
          </c:val>
        </c:ser>
        <c:marker val="1"/>
        <c:axId val="96429568"/>
        <c:axId val="96431488"/>
      </c:lineChart>
      <c:lineChart>
        <c:grouping val="standard"/>
        <c:ser>
          <c:idx val="3"/>
          <c:order val="3"/>
          <c:tx>
            <c:v>CPU待ち時間</c:v>
          </c:tx>
          <c:spPr>
            <a:ln w="28575">
              <a:noFill/>
            </a:ln>
          </c:spPr>
          <c:marker>
            <c:symbol val="x"/>
            <c:size val="8"/>
            <c:spPr>
              <a:noFill/>
              <a:ln w="28575">
                <a:solidFill>
                  <a:schemeClr val="accent2"/>
                </a:solidFill>
              </a:ln>
            </c:spPr>
          </c:marker>
          <c:cat>
            <c:numRef>
              <c:f>'CLSTRDATA-&lt;cluster&gt;'!$B$352:$B$355</c:f>
              <c:numCache>
                <c:formatCode>General</c:formatCode>
                <c:ptCount val="4"/>
              </c:numCache>
            </c:numRef>
          </c:cat>
          <c:val>
            <c:numRef>
              <c:f>'CLSTRDATA-&lt;cluster&gt;'!$F$252:$F$255</c:f>
              <c:numCache>
                <c:formatCode>General</c:formatCode>
                <c:ptCount val="4"/>
                <c:pt idx="0">
                  <c:v>1424.63381200093</c:v>
                </c:pt>
                <c:pt idx="1">
                  <c:v>4348.2218223905002</c:v>
                </c:pt>
                <c:pt idx="2">
                  <c:v>11061.3687301595</c:v>
                </c:pt>
                <c:pt idx="3">
                  <c:v>12985.534001928199</c:v>
                </c:pt>
              </c:numCache>
            </c:numRef>
          </c:val>
        </c:ser>
        <c:marker val="1"/>
        <c:axId val="96441856"/>
        <c:axId val="96443392"/>
      </c:lineChart>
      <c:catAx>
        <c:axId val="96429568"/>
        <c:scaling>
          <c:orientation val="minMax"/>
        </c:scaling>
        <c:axPos val="b"/>
        <c:numFmt formatCode="\v\C\P\U\ \x\ #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ＭＳ Ｐゴシック"/>
                <a:cs typeface="ＭＳ Ｐゴシック"/>
              </a:defRPr>
            </a:pPr>
            <a:endParaRPr lang="ja-JP"/>
          </a:p>
        </c:txPr>
        <c:crossAx val="96431488"/>
        <c:crosses val="autoZero"/>
        <c:lblAlgn val="ctr"/>
        <c:lblOffset val="100"/>
        <c:tickLblSkip val="1"/>
        <c:tickMarkSkip val="1"/>
      </c:catAx>
      <c:valAx>
        <c:axId val="96431488"/>
        <c:scaling>
          <c:orientation val="minMax"/>
          <c:max val="0.5"/>
        </c:scaling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1">
                    <a:latin typeface="+mn-lt"/>
                  </a:defRPr>
                </a:pPr>
                <a:r>
                  <a:rPr lang="en-US" altLang="ja-JP" sz="1000" b="1">
                    <a:latin typeface="+mn-lt"/>
                  </a:rPr>
                  <a:t>CPU</a:t>
                </a:r>
                <a:r>
                  <a:rPr lang="ja-JP" altLang="en-US" sz="1000" b="1">
                    <a:latin typeface="+mn-lt"/>
                  </a:rPr>
                  <a:t>使用率 </a:t>
                </a:r>
                <a:r>
                  <a:rPr lang="en-US" altLang="ja-JP" sz="1000" b="1">
                    <a:latin typeface="+mn-lt"/>
                  </a:rPr>
                  <a:t>(%)</a:t>
                </a:r>
                <a:endParaRPr lang="ja-JP" altLang="en-US" sz="1000" b="1">
                  <a:latin typeface="+mn-lt"/>
                </a:endParaRPr>
              </a:p>
            </c:rich>
          </c:tx>
        </c:title>
        <c:numFmt formatCode="0%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ＭＳ Ｐゴシック"/>
                <a:cs typeface="ＭＳ Ｐゴシック"/>
              </a:defRPr>
            </a:pPr>
            <a:endParaRPr lang="ja-JP"/>
          </a:p>
        </c:txPr>
        <c:crossAx val="96429568"/>
        <c:crosses val="autoZero"/>
        <c:crossBetween val="between"/>
      </c:valAx>
      <c:catAx>
        <c:axId val="96441856"/>
        <c:scaling>
          <c:orientation val="minMax"/>
        </c:scaling>
        <c:delete val="1"/>
        <c:axPos val="b"/>
        <c:numFmt formatCode="General" sourceLinked="1"/>
        <c:tickLblPos val="none"/>
        <c:crossAx val="96443392"/>
        <c:crosses val="autoZero"/>
        <c:lblAlgn val="ctr"/>
        <c:lblOffset val="100"/>
      </c:catAx>
      <c:valAx>
        <c:axId val="96443392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sz="1000" b="1">
                    <a:latin typeface="+mn-lt"/>
                  </a:rPr>
                  <a:t>CPU</a:t>
                </a:r>
                <a:r>
                  <a:rPr lang="ja-JP" altLang="en-US" sz="1000" b="1">
                    <a:latin typeface="+mn-lt"/>
                  </a:rPr>
                  <a:t>待機時間</a:t>
                </a:r>
                <a:r>
                  <a:rPr lang="ja-JP" altLang="en-US" sz="1000" b="1" baseline="0">
                    <a:latin typeface="+mn-lt"/>
                  </a:rPr>
                  <a:t> </a:t>
                </a:r>
                <a:r>
                  <a:rPr lang="en-US" altLang="ja-JP" sz="1000" b="1" baseline="0">
                    <a:latin typeface="+mn-lt"/>
                  </a:rPr>
                  <a:t>(ms)</a:t>
                </a:r>
                <a:endParaRPr lang="en-US" altLang="ja-JP" sz="1000" b="1">
                  <a:latin typeface="+mn-lt"/>
                </a:endParaRPr>
              </a:p>
            </c:rich>
          </c:tx>
        </c:title>
        <c:numFmt formatCode="#,##0;[Red]\-#,##0" sourceLinked="0"/>
        <c:maj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ＭＳ Ｐゴシック"/>
                <a:cs typeface="ＭＳ Ｐゴシック"/>
              </a:defRPr>
            </a:pPr>
            <a:endParaRPr lang="ja-JP"/>
          </a:p>
        </c:txPr>
        <c:crossAx val="96441856"/>
        <c:crosses val="max"/>
        <c:crossBetween val="between"/>
      </c:val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67160172638508953"/>
          <c:y val="0.44024897772176347"/>
          <c:w val="0.15102998715745564"/>
          <c:h val="0.13485684702256256"/>
        </c:manualLayout>
      </c:layout>
      <c:spPr>
        <a:solidFill>
          <a:schemeClr val="bg1">
            <a:lumMod val="95000"/>
          </a:schemeClr>
        </a:solidFill>
        <a:ln w="3175">
          <a:noFill/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+mn-lt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printSettings>
    <c:headerFooter alignWithMargins="0"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クラスタレベル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 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メモリ使用量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/ 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仮想マシン当りのメモリ使用量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
&lt;</a:t>
            </a:r>
            <a:r>
              <a:rPr lang="en-US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cluster&gt;</a:t>
            </a:r>
            <a:endParaRPr lang="en-US" altLang="ja-JP" sz="12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c:rich>
      </c:tx>
      <c:layout>
        <c:manualLayout>
          <c:xMode val="edge"/>
          <c:yMode val="edge"/>
          <c:x val="0.31525458013434365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8.0549352738567268E-2"/>
          <c:y val="9.1303243551810492E-2"/>
          <c:w val="0.86009323467196863"/>
          <c:h val="0.74303783902012666"/>
        </c:manualLayout>
      </c:layout>
      <c:barChart>
        <c:barDir val="col"/>
        <c:grouping val="stacked"/>
        <c:ser>
          <c:idx val="0"/>
          <c:order val="0"/>
          <c:tx>
            <c:strRef>
              <c:f>'CLSTRDATA-&lt;cluster&gt;'!$W$2</c:f>
              <c:strCache>
                <c:ptCount val="1"/>
                <c:pt idx="0">
                  <c:v>Mem Consumed (MB)</c:v>
                </c:pt>
              </c:strCache>
            </c:strRef>
          </c:tx>
          <c:spPr>
            <a:gradFill>
              <a:gsLst>
                <a:gs pos="0">
                  <a:srgbClr val="4F81BD">
                    <a:tint val="66000"/>
                    <a:satMod val="160000"/>
                  </a:srgbClr>
                </a:gs>
                <a:gs pos="50000">
                  <a:srgbClr val="4F81BD">
                    <a:tint val="44500"/>
                    <a:satMod val="160000"/>
                  </a:srgbClr>
                </a:gs>
                <a:gs pos="100000">
                  <a:srgbClr val="4F81BD">
                    <a:tint val="23500"/>
                    <a:satMod val="160000"/>
                  </a:srgbClr>
                </a:gs>
              </a:gsLst>
              <a:lin ang="5400000" scaled="1"/>
            </a:gradFill>
            <a:ln>
              <a:noFill/>
            </a:ln>
          </c:spPr>
          <c:dLbls>
            <c:dLbl>
              <c:idx val="91"/>
              <c:dLblPos val="inEnd"/>
              <c:showVal val="1"/>
            </c:dLbl>
            <c:delete val="1"/>
            <c:numFmt formatCode="#,##0;[Red]\-#,##0" sourceLinked="0"/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ja-JP"/>
              </a:p>
            </c:txPr>
            <c:dLblPos val="inEnd"/>
          </c:dLbls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'CLSTRDATA-&lt;cluster&gt;'!$W$3:$W$93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36715.551491477243</c:v>
                </c:pt>
                <c:pt idx="47">
                  <c:v>34189.649576822951</c:v>
                </c:pt>
                <c:pt idx="48">
                  <c:v>31339.315755208299</c:v>
                </c:pt>
                <c:pt idx="49">
                  <c:v>31000.6044921875</c:v>
                </c:pt>
                <c:pt idx="50">
                  <c:v>31172.556315104201</c:v>
                </c:pt>
                <c:pt idx="51">
                  <c:v>31339.511555989549</c:v>
                </c:pt>
                <c:pt idx="52">
                  <c:v>32287.3681640625</c:v>
                </c:pt>
                <c:pt idx="53">
                  <c:v>31747.544759114549</c:v>
                </c:pt>
                <c:pt idx="54">
                  <c:v>32299.180501302049</c:v>
                </c:pt>
                <c:pt idx="55">
                  <c:v>32682.17431640625</c:v>
                </c:pt>
                <c:pt idx="56">
                  <c:v>32739.637044270799</c:v>
                </c:pt>
                <c:pt idx="57">
                  <c:v>32556.219889322951</c:v>
                </c:pt>
                <c:pt idx="58">
                  <c:v>32769.0419921875</c:v>
                </c:pt>
                <c:pt idx="59">
                  <c:v>32781.497884114549</c:v>
                </c:pt>
                <c:pt idx="60">
                  <c:v>32771.037760416701</c:v>
                </c:pt>
                <c:pt idx="61">
                  <c:v>32718.2978515625</c:v>
                </c:pt>
                <c:pt idx="62">
                  <c:v>31915.310546875</c:v>
                </c:pt>
                <c:pt idx="63">
                  <c:v>24771.478678385451</c:v>
                </c:pt>
                <c:pt idx="64">
                  <c:v>26029.690755208299</c:v>
                </c:pt>
                <c:pt idx="65">
                  <c:v>23706.719401041701</c:v>
                </c:pt>
                <c:pt idx="66">
                  <c:v>24230.066080729201</c:v>
                </c:pt>
                <c:pt idx="67">
                  <c:v>24337.861328125</c:v>
                </c:pt>
                <c:pt idx="68">
                  <c:v>26947.990397135451</c:v>
                </c:pt>
                <c:pt idx="69">
                  <c:v>30942.260904947951</c:v>
                </c:pt>
                <c:pt idx="70">
                  <c:v>35001.941840277737</c:v>
                </c:pt>
                <c:pt idx="71">
                  <c:v>0</c:v>
                </c:pt>
                <c:pt idx="72">
                  <c:v>0</c:v>
                </c:pt>
                <c:pt idx="73">
                  <c:v>34451.285807291701</c:v>
                </c:pt>
                <c:pt idx="74">
                  <c:v>39336.398274739549</c:v>
                </c:pt>
                <c:pt idx="75">
                  <c:v>43586.221028645799</c:v>
                </c:pt>
                <c:pt idx="76">
                  <c:v>44909.073102678616</c:v>
                </c:pt>
                <c:pt idx="77">
                  <c:v>45587.870535714261</c:v>
                </c:pt>
                <c:pt idx="78">
                  <c:v>46509.868489583299</c:v>
                </c:pt>
                <c:pt idx="79">
                  <c:v>47089.879231770799</c:v>
                </c:pt>
                <c:pt idx="80">
                  <c:v>46181.28125</c:v>
                </c:pt>
                <c:pt idx="81">
                  <c:v>49320.552083333299</c:v>
                </c:pt>
                <c:pt idx="82">
                  <c:v>63460.241536458299</c:v>
                </c:pt>
                <c:pt idx="83">
                  <c:v>63647.780924479201</c:v>
                </c:pt>
                <c:pt idx="84">
                  <c:v>65183.544596354201</c:v>
                </c:pt>
                <c:pt idx="85">
                  <c:v>65072.671875</c:v>
                </c:pt>
                <c:pt idx="86">
                  <c:v>63810.875</c:v>
                </c:pt>
                <c:pt idx="87">
                  <c:v>63070.977864583299</c:v>
                </c:pt>
                <c:pt idx="88">
                  <c:v>57015.248046875</c:v>
                </c:pt>
                <c:pt idx="89">
                  <c:v>53159.931315104201</c:v>
                </c:pt>
                <c:pt idx="90">
                  <c:v>43947.123697916701</c:v>
                </c:pt>
              </c:numCache>
            </c:numRef>
          </c:val>
        </c:ser>
        <c:gapWidth val="60"/>
        <c:overlap val="100"/>
        <c:axId val="107500288"/>
        <c:axId val="107502208"/>
      </c:barChart>
      <c:lineChart>
        <c:grouping val="standard"/>
        <c:ser>
          <c:idx val="2"/>
          <c:order val="1"/>
          <c:tx>
            <c:strRef>
              <c:f>'CLSTRDATA-&lt;cluster&gt;'!$X$2</c:f>
              <c:strCache>
                <c:ptCount val="1"/>
                <c:pt idx="0">
                  <c:v>Usage Target (MB)</c:v>
                </c:pt>
              </c:strCache>
            </c:strRef>
          </c:tx>
          <c:spPr>
            <a:ln w="22225">
              <a:solidFill>
                <a:srgbClr val="F79646"/>
              </a:solidFill>
              <a:prstDash val="sysDash"/>
            </a:ln>
          </c:spPr>
          <c:marker>
            <c:symbol val="none"/>
          </c:marker>
          <c:dLbls>
            <c:dLbl>
              <c:idx val="90"/>
              <c:layout/>
              <c:dLblPos val="t"/>
              <c:showVal val="1"/>
            </c:dLbl>
            <c:dLbl>
              <c:idx val="91"/>
              <c:dLblPos val="t"/>
              <c:showVal val="1"/>
            </c:dLbl>
            <c:delete val="1"/>
            <c:numFmt formatCode="#,##0;[Red]\-#,##0" sourceLinked="0"/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ja-JP"/>
              </a:p>
            </c:txPr>
            <c:dLblPos val="t"/>
          </c:dLbls>
          <c:cat>
            <c:numRef>
              <c:f>'CLSTRDATA-&lt;cluster&gt;'!$B$3:$B$94</c:f>
              <c:numCache>
                <c:formatCode>yyyy/mm/dd</c:formatCode>
                <c:ptCount val="92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  <c:pt idx="91">
                  <c:v>40452</c:v>
                </c:pt>
              </c:numCache>
            </c:numRef>
          </c:cat>
          <c:val>
            <c:numRef>
              <c:f>'CLSTRDATA-&lt;cluster&gt;'!$X$3:$X$93</c:f>
              <c:numCache>
                <c:formatCode>General</c:formatCode>
                <c:ptCount val="91"/>
                <c:pt idx="0">
                  <c:v>61031.27135306556</c:v>
                </c:pt>
                <c:pt idx="1">
                  <c:v>61031.27135306556</c:v>
                </c:pt>
                <c:pt idx="2">
                  <c:v>61031.27135306556</c:v>
                </c:pt>
                <c:pt idx="3">
                  <c:v>61031.27135306556</c:v>
                </c:pt>
                <c:pt idx="4">
                  <c:v>61031.27135306556</c:v>
                </c:pt>
                <c:pt idx="5">
                  <c:v>61031.27135306556</c:v>
                </c:pt>
                <c:pt idx="6">
                  <c:v>61031.27135306556</c:v>
                </c:pt>
                <c:pt idx="7">
                  <c:v>61031.27135306556</c:v>
                </c:pt>
                <c:pt idx="8">
                  <c:v>61031.27135306556</c:v>
                </c:pt>
                <c:pt idx="9">
                  <c:v>61031.27135306556</c:v>
                </c:pt>
                <c:pt idx="10">
                  <c:v>61031.27135306556</c:v>
                </c:pt>
                <c:pt idx="11">
                  <c:v>61031.27135306556</c:v>
                </c:pt>
                <c:pt idx="12">
                  <c:v>61031.27135306556</c:v>
                </c:pt>
                <c:pt idx="13">
                  <c:v>61031.27135306556</c:v>
                </c:pt>
                <c:pt idx="14">
                  <c:v>61031.27135306556</c:v>
                </c:pt>
                <c:pt idx="15">
                  <c:v>61031.27135306556</c:v>
                </c:pt>
                <c:pt idx="16">
                  <c:v>61031.27135306556</c:v>
                </c:pt>
                <c:pt idx="17">
                  <c:v>61031.27135306556</c:v>
                </c:pt>
                <c:pt idx="18">
                  <c:v>61031.27135306556</c:v>
                </c:pt>
                <c:pt idx="19">
                  <c:v>61031.27135306556</c:v>
                </c:pt>
                <c:pt idx="20">
                  <c:v>61031.27135306556</c:v>
                </c:pt>
                <c:pt idx="21">
                  <c:v>61031.27135306556</c:v>
                </c:pt>
                <c:pt idx="22">
                  <c:v>61031.27135306556</c:v>
                </c:pt>
                <c:pt idx="23">
                  <c:v>61031.27135306556</c:v>
                </c:pt>
                <c:pt idx="24">
                  <c:v>61031.27135306556</c:v>
                </c:pt>
                <c:pt idx="25">
                  <c:v>61031.27135306556</c:v>
                </c:pt>
                <c:pt idx="26">
                  <c:v>61031.27135306556</c:v>
                </c:pt>
                <c:pt idx="27">
                  <c:v>61031.27135306556</c:v>
                </c:pt>
                <c:pt idx="28">
                  <c:v>61031.27135306556</c:v>
                </c:pt>
                <c:pt idx="29">
                  <c:v>61031.27135306556</c:v>
                </c:pt>
                <c:pt idx="30">
                  <c:v>61031.27135306556</c:v>
                </c:pt>
                <c:pt idx="31">
                  <c:v>61031.27135306556</c:v>
                </c:pt>
                <c:pt idx="32">
                  <c:v>61031.27135306556</c:v>
                </c:pt>
                <c:pt idx="33">
                  <c:v>61031.27135306556</c:v>
                </c:pt>
                <c:pt idx="34">
                  <c:v>61031.27135306556</c:v>
                </c:pt>
                <c:pt idx="35">
                  <c:v>61031.27135306556</c:v>
                </c:pt>
                <c:pt idx="36">
                  <c:v>61031.27135306556</c:v>
                </c:pt>
                <c:pt idx="37">
                  <c:v>61031.27135306556</c:v>
                </c:pt>
                <c:pt idx="38">
                  <c:v>61031.27135306556</c:v>
                </c:pt>
                <c:pt idx="39">
                  <c:v>61031.27135306556</c:v>
                </c:pt>
                <c:pt idx="40">
                  <c:v>61031.27135306556</c:v>
                </c:pt>
                <c:pt idx="41">
                  <c:v>61031.27135306556</c:v>
                </c:pt>
                <c:pt idx="42">
                  <c:v>61031.27135306556</c:v>
                </c:pt>
                <c:pt idx="43">
                  <c:v>61031.27135306556</c:v>
                </c:pt>
                <c:pt idx="44">
                  <c:v>61031.27135306556</c:v>
                </c:pt>
                <c:pt idx="45">
                  <c:v>61031.27135306556</c:v>
                </c:pt>
                <c:pt idx="46">
                  <c:v>61031.27135306556</c:v>
                </c:pt>
                <c:pt idx="47">
                  <c:v>61031.27135306556</c:v>
                </c:pt>
                <c:pt idx="48">
                  <c:v>61031.27135306556</c:v>
                </c:pt>
                <c:pt idx="49">
                  <c:v>61031.27135306556</c:v>
                </c:pt>
                <c:pt idx="50">
                  <c:v>61031.27135306556</c:v>
                </c:pt>
                <c:pt idx="51">
                  <c:v>61031.27135306556</c:v>
                </c:pt>
                <c:pt idx="52">
                  <c:v>61031.27135306556</c:v>
                </c:pt>
                <c:pt idx="53">
                  <c:v>61031.27135306556</c:v>
                </c:pt>
                <c:pt idx="54">
                  <c:v>61031.27135306556</c:v>
                </c:pt>
                <c:pt idx="55">
                  <c:v>61031.27135306556</c:v>
                </c:pt>
                <c:pt idx="56">
                  <c:v>61031.27135306556</c:v>
                </c:pt>
                <c:pt idx="57">
                  <c:v>61031.27135306556</c:v>
                </c:pt>
                <c:pt idx="58">
                  <c:v>61031.27135306556</c:v>
                </c:pt>
                <c:pt idx="59">
                  <c:v>61031.27135306556</c:v>
                </c:pt>
                <c:pt idx="60">
                  <c:v>61031.27135306556</c:v>
                </c:pt>
                <c:pt idx="61">
                  <c:v>61031.27135306556</c:v>
                </c:pt>
                <c:pt idx="62">
                  <c:v>61031.27135306556</c:v>
                </c:pt>
                <c:pt idx="63">
                  <c:v>61031.27135306556</c:v>
                </c:pt>
                <c:pt idx="64">
                  <c:v>61031.27135306556</c:v>
                </c:pt>
                <c:pt idx="65">
                  <c:v>61031.27135306556</c:v>
                </c:pt>
                <c:pt idx="66">
                  <c:v>61031.27135306556</c:v>
                </c:pt>
                <c:pt idx="67">
                  <c:v>61031.27135306556</c:v>
                </c:pt>
                <c:pt idx="68">
                  <c:v>61031.27135306556</c:v>
                </c:pt>
                <c:pt idx="69">
                  <c:v>61031.27135306556</c:v>
                </c:pt>
                <c:pt idx="70">
                  <c:v>61031.27135306556</c:v>
                </c:pt>
                <c:pt idx="71">
                  <c:v>61031.27135306556</c:v>
                </c:pt>
                <c:pt idx="72">
                  <c:v>61031.27135306556</c:v>
                </c:pt>
                <c:pt idx="73">
                  <c:v>61031.27135306556</c:v>
                </c:pt>
                <c:pt idx="74">
                  <c:v>61031.27135306556</c:v>
                </c:pt>
                <c:pt idx="75">
                  <c:v>61031.27135306556</c:v>
                </c:pt>
                <c:pt idx="76">
                  <c:v>61031.27135306556</c:v>
                </c:pt>
                <c:pt idx="77">
                  <c:v>61031.27135306556</c:v>
                </c:pt>
                <c:pt idx="78">
                  <c:v>61031.27135306556</c:v>
                </c:pt>
                <c:pt idx="79">
                  <c:v>61031.27135306556</c:v>
                </c:pt>
                <c:pt idx="80">
                  <c:v>61031.27135306556</c:v>
                </c:pt>
                <c:pt idx="81">
                  <c:v>61031.27135306556</c:v>
                </c:pt>
                <c:pt idx="82">
                  <c:v>61031.27135306556</c:v>
                </c:pt>
                <c:pt idx="83">
                  <c:v>61031.27135306556</c:v>
                </c:pt>
                <c:pt idx="84">
                  <c:v>61031.27135306556</c:v>
                </c:pt>
                <c:pt idx="85">
                  <c:v>61031.27135306556</c:v>
                </c:pt>
                <c:pt idx="86">
                  <c:v>61031.27135306556</c:v>
                </c:pt>
                <c:pt idx="87">
                  <c:v>61031.27135306556</c:v>
                </c:pt>
                <c:pt idx="88">
                  <c:v>61031.27135306556</c:v>
                </c:pt>
                <c:pt idx="89">
                  <c:v>61031.27135306556</c:v>
                </c:pt>
                <c:pt idx="90">
                  <c:v>61031.27135306556</c:v>
                </c:pt>
              </c:numCache>
            </c:numRef>
          </c:val>
        </c:ser>
        <c:ser>
          <c:idx val="3"/>
          <c:order val="2"/>
          <c:tx>
            <c:strRef>
              <c:f>'CLSTRDATA-&lt;cluster&gt;'!$Y$2</c:f>
              <c:strCache>
                <c:ptCount val="1"/>
                <c:pt idx="0">
                  <c:v>Usage Limit (MB)</c:v>
                </c:pt>
              </c:strCache>
            </c:strRef>
          </c:tx>
          <c:spPr>
            <a:ln w="22225">
              <a:solidFill>
                <a:schemeClr val="accent2"/>
              </a:solidFill>
              <a:prstDash val="sysDash"/>
            </a:ln>
          </c:spPr>
          <c:marker>
            <c:symbol val="none"/>
          </c:marker>
          <c:dLbls>
            <c:dLbl>
              <c:idx val="90"/>
              <c:layout/>
              <c:numFmt formatCode="#,##0" sourceLinked="0"/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ja-JP"/>
                </a:p>
              </c:txPr>
              <c:dLblPos val="t"/>
              <c:showVal val="1"/>
            </c:dLbl>
            <c:delete val="1"/>
          </c:dLbls>
          <c:cat>
            <c:numRef>
              <c:f>'CLSTRDATA-&lt;cluster&gt;'!$B$3:$B$94</c:f>
              <c:numCache>
                <c:formatCode>yyyy/mm/dd</c:formatCode>
                <c:ptCount val="92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  <c:pt idx="91">
                  <c:v>40452</c:v>
                </c:pt>
              </c:numCache>
            </c:numRef>
          </c:cat>
          <c:val>
            <c:numRef>
              <c:f>'CLSTRDATA-&lt;cluster&gt;'!$Y$3:$Y$93</c:f>
              <c:numCache>
                <c:formatCode>General</c:formatCode>
                <c:ptCount val="91"/>
                <c:pt idx="0">
                  <c:v>69750.024403503485</c:v>
                </c:pt>
                <c:pt idx="1">
                  <c:v>69750.024403503485</c:v>
                </c:pt>
                <c:pt idx="2">
                  <c:v>69750.024403503485</c:v>
                </c:pt>
                <c:pt idx="3">
                  <c:v>69750.024403503485</c:v>
                </c:pt>
                <c:pt idx="4">
                  <c:v>69750.024403503485</c:v>
                </c:pt>
                <c:pt idx="5">
                  <c:v>69750.024403503485</c:v>
                </c:pt>
                <c:pt idx="6">
                  <c:v>69750.024403503485</c:v>
                </c:pt>
                <c:pt idx="7">
                  <c:v>69750.024403503485</c:v>
                </c:pt>
                <c:pt idx="8">
                  <c:v>69750.024403503485</c:v>
                </c:pt>
                <c:pt idx="9">
                  <c:v>69750.024403503485</c:v>
                </c:pt>
                <c:pt idx="10">
                  <c:v>69750.024403503485</c:v>
                </c:pt>
                <c:pt idx="11">
                  <c:v>69750.024403503485</c:v>
                </c:pt>
                <c:pt idx="12">
                  <c:v>69750.024403503485</c:v>
                </c:pt>
                <c:pt idx="13">
                  <c:v>69750.024403503485</c:v>
                </c:pt>
                <c:pt idx="14">
                  <c:v>69750.024403503485</c:v>
                </c:pt>
                <c:pt idx="15">
                  <c:v>69750.024403503485</c:v>
                </c:pt>
                <c:pt idx="16">
                  <c:v>69750.024403503485</c:v>
                </c:pt>
                <c:pt idx="17">
                  <c:v>69750.024403503485</c:v>
                </c:pt>
                <c:pt idx="18">
                  <c:v>69750.024403503485</c:v>
                </c:pt>
                <c:pt idx="19">
                  <c:v>69750.024403503485</c:v>
                </c:pt>
                <c:pt idx="20">
                  <c:v>69750.024403503485</c:v>
                </c:pt>
                <c:pt idx="21">
                  <c:v>69750.024403503485</c:v>
                </c:pt>
                <c:pt idx="22">
                  <c:v>69750.024403503485</c:v>
                </c:pt>
                <c:pt idx="23">
                  <c:v>69750.024403503485</c:v>
                </c:pt>
                <c:pt idx="24">
                  <c:v>69750.024403503485</c:v>
                </c:pt>
                <c:pt idx="25">
                  <c:v>69750.024403503485</c:v>
                </c:pt>
                <c:pt idx="26">
                  <c:v>69750.024403503485</c:v>
                </c:pt>
                <c:pt idx="27">
                  <c:v>69750.024403503485</c:v>
                </c:pt>
                <c:pt idx="28">
                  <c:v>69750.024403503485</c:v>
                </c:pt>
                <c:pt idx="29">
                  <c:v>69750.024403503485</c:v>
                </c:pt>
                <c:pt idx="30">
                  <c:v>69750.024403503485</c:v>
                </c:pt>
                <c:pt idx="31">
                  <c:v>69750.024403503485</c:v>
                </c:pt>
                <c:pt idx="32">
                  <c:v>69750.024403503485</c:v>
                </c:pt>
                <c:pt idx="33">
                  <c:v>69750.024403503485</c:v>
                </c:pt>
                <c:pt idx="34">
                  <c:v>69750.024403503485</c:v>
                </c:pt>
                <c:pt idx="35">
                  <c:v>69750.024403503485</c:v>
                </c:pt>
                <c:pt idx="36">
                  <c:v>69750.024403503485</c:v>
                </c:pt>
                <c:pt idx="37">
                  <c:v>69750.024403503485</c:v>
                </c:pt>
                <c:pt idx="38">
                  <c:v>69750.024403503485</c:v>
                </c:pt>
                <c:pt idx="39">
                  <c:v>69750.024403503485</c:v>
                </c:pt>
                <c:pt idx="40">
                  <c:v>69750.024403503485</c:v>
                </c:pt>
                <c:pt idx="41">
                  <c:v>69750.024403503485</c:v>
                </c:pt>
                <c:pt idx="42">
                  <c:v>69750.024403503485</c:v>
                </c:pt>
                <c:pt idx="43">
                  <c:v>69750.024403503485</c:v>
                </c:pt>
                <c:pt idx="44">
                  <c:v>69750.024403503485</c:v>
                </c:pt>
                <c:pt idx="45">
                  <c:v>69750.024403503485</c:v>
                </c:pt>
                <c:pt idx="46">
                  <c:v>69750.024403503485</c:v>
                </c:pt>
                <c:pt idx="47">
                  <c:v>69750.024403503485</c:v>
                </c:pt>
                <c:pt idx="48">
                  <c:v>69750.024403503485</c:v>
                </c:pt>
                <c:pt idx="49">
                  <c:v>69750.024403503485</c:v>
                </c:pt>
                <c:pt idx="50">
                  <c:v>69750.024403503485</c:v>
                </c:pt>
                <c:pt idx="51">
                  <c:v>69750.024403503485</c:v>
                </c:pt>
                <c:pt idx="52">
                  <c:v>69750.024403503485</c:v>
                </c:pt>
                <c:pt idx="53">
                  <c:v>69750.024403503485</c:v>
                </c:pt>
                <c:pt idx="54">
                  <c:v>69750.024403503485</c:v>
                </c:pt>
                <c:pt idx="55">
                  <c:v>69750.024403503485</c:v>
                </c:pt>
                <c:pt idx="56">
                  <c:v>69750.024403503485</c:v>
                </c:pt>
                <c:pt idx="57">
                  <c:v>69750.024403503485</c:v>
                </c:pt>
                <c:pt idx="58">
                  <c:v>69750.024403503485</c:v>
                </c:pt>
                <c:pt idx="59">
                  <c:v>69750.024403503485</c:v>
                </c:pt>
                <c:pt idx="60">
                  <c:v>69750.024403503485</c:v>
                </c:pt>
                <c:pt idx="61">
                  <c:v>69750.024403503485</c:v>
                </c:pt>
                <c:pt idx="62">
                  <c:v>69750.024403503485</c:v>
                </c:pt>
                <c:pt idx="63">
                  <c:v>69750.024403503485</c:v>
                </c:pt>
                <c:pt idx="64">
                  <c:v>69750.024403503485</c:v>
                </c:pt>
                <c:pt idx="65">
                  <c:v>69750.024403503485</c:v>
                </c:pt>
                <c:pt idx="66">
                  <c:v>69750.024403503485</c:v>
                </c:pt>
                <c:pt idx="67">
                  <c:v>69750.024403503485</c:v>
                </c:pt>
                <c:pt idx="68">
                  <c:v>69750.024403503485</c:v>
                </c:pt>
                <c:pt idx="69">
                  <c:v>69750.024403503485</c:v>
                </c:pt>
                <c:pt idx="70">
                  <c:v>69750.024403503485</c:v>
                </c:pt>
                <c:pt idx="71">
                  <c:v>69750.024403503485</c:v>
                </c:pt>
                <c:pt idx="72">
                  <c:v>69750.024403503485</c:v>
                </c:pt>
                <c:pt idx="73">
                  <c:v>69750.024403503485</c:v>
                </c:pt>
                <c:pt idx="74">
                  <c:v>69750.024403503485</c:v>
                </c:pt>
                <c:pt idx="75">
                  <c:v>69750.024403503485</c:v>
                </c:pt>
                <c:pt idx="76">
                  <c:v>69750.024403503485</c:v>
                </c:pt>
                <c:pt idx="77">
                  <c:v>69750.024403503485</c:v>
                </c:pt>
                <c:pt idx="78">
                  <c:v>69750.024403503485</c:v>
                </c:pt>
                <c:pt idx="79">
                  <c:v>69750.024403503485</c:v>
                </c:pt>
                <c:pt idx="80">
                  <c:v>69750.024403503485</c:v>
                </c:pt>
                <c:pt idx="81">
                  <c:v>69750.024403503485</c:v>
                </c:pt>
                <c:pt idx="82">
                  <c:v>69750.024403503485</c:v>
                </c:pt>
                <c:pt idx="83">
                  <c:v>69750.024403503485</c:v>
                </c:pt>
                <c:pt idx="84">
                  <c:v>69750.024403503485</c:v>
                </c:pt>
                <c:pt idx="85">
                  <c:v>69750.024403503485</c:v>
                </c:pt>
                <c:pt idx="86">
                  <c:v>69750.024403503485</c:v>
                </c:pt>
                <c:pt idx="87">
                  <c:v>69750.024403503485</c:v>
                </c:pt>
                <c:pt idx="88">
                  <c:v>69750.024403503485</c:v>
                </c:pt>
                <c:pt idx="89">
                  <c:v>69750.024403503485</c:v>
                </c:pt>
                <c:pt idx="90">
                  <c:v>69750.024403503485</c:v>
                </c:pt>
              </c:numCache>
            </c:numRef>
          </c:val>
        </c:ser>
        <c:marker val="1"/>
        <c:axId val="107500288"/>
        <c:axId val="107502208"/>
      </c:lineChart>
      <c:lineChart>
        <c:grouping val="standard"/>
        <c:ser>
          <c:idx val="4"/>
          <c:order val="3"/>
          <c:tx>
            <c:strRef>
              <c:f>'CLSTRDATA-&lt;cluster&gt;'!$Z$2</c:f>
              <c:strCache>
                <c:ptCount val="1"/>
                <c:pt idx="0">
                  <c:v>Mem Consumed per VM (MB)</c:v>
                </c:pt>
              </c:strCache>
            </c:strRef>
          </c:tx>
          <c:spPr>
            <a:ln w="22225">
              <a:noFill/>
            </a:ln>
          </c:spPr>
          <c:marker>
            <c:symbol val="dash"/>
            <c:size val="7"/>
            <c:spPr>
              <a:ln w="15875">
                <a:solidFill>
                  <a:srgbClr val="00B0F0"/>
                </a:solidFill>
              </a:ln>
            </c:spPr>
          </c:marker>
          <c:dLbls>
            <c:dLbl>
              <c:idx val="90"/>
              <c:layout/>
              <c:dLblPos val="t"/>
              <c:showVal val="1"/>
            </c:dLbl>
            <c:dLbl>
              <c:idx val="91"/>
              <c:showVal val="1"/>
            </c:dLbl>
            <c:delete val="1"/>
            <c:numFmt formatCode="#,##0;[Red]\-#,##0" sourceLinked="0"/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ja-JP"/>
              </a:p>
            </c:txPr>
          </c:dLbls>
          <c:cat>
            <c:strRef>
              <c:f>'CLSTRDATA-&lt;cluster&gt;'!$B$2:$B$92</c:f>
              <c:strCache>
                <c:ptCount val="91"/>
                <c:pt idx="0">
                  <c:v>Date</c:v>
                </c:pt>
                <c:pt idx="1">
                  <c:v>2010/7/2</c:v>
                </c:pt>
                <c:pt idx="2">
                  <c:v>2010/7/3</c:v>
                </c:pt>
                <c:pt idx="3">
                  <c:v>2010/7/4</c:v>
                </c:pt>
                <c:pt idx="4">
                  <c:v>2010/7/5</c:v>
                </c:pt>
                <c:pt idx="5">
                  <c:v>2010/7/6</c:v>
                </c:pt>
                <c:pt idx="6">
                  <c:v>2010/7/7</c:v>
                </c:pt>
                <c:pt idx="7">
                  <c:v>2010/7/8</c:v>
                </c:pt>
                <c:pt idx="8">
                  <c:v>2010/7/9</c:v>
                </c:pt>
                <c:pt idx="9">
                  <c:v>2010/7/10</c:v>
                </c:pt>
                <c:pt idx="10">
                  <c:v>2010/7/11</c:v>
                </c:pt>
                <c:pt idx="11">
                  <c:v>2010/7/12</c:v>
                </c:pt>
                <c:pt idx="12">
                  <c:v>2010/7/13</c:v>
                </c:pt>
                <c:pt idx="13">
                  <c:v>2010/7/14</c:v>
                </c:pt>
                <c:pt idx="14">
                  <c:v>2010/7/15</c:v>
                </c:pt>
                <c:pt idx="15">
                  <c:v>2010/7/16</c:v>
                </c:pt>
                <c:pt idx="16">
                  <c:v>2010/7/17</c:v>
                </c:pt>
                <c:pt idx="17">
                  <c:v>2010/7/18</c:v>
                </c:pt>
                <c:pt idx="18">
                  <c:v>2010/7/19</c:v>
                </c:pt>
                <c:pt idx="19">
                  <c:v>2010/7/20</c:v>
                </c:pt>
                <c:pt idx="20">
                  <c:v>2010/7/21</c:v>
                </c:pt>
                <c:pt idx="21">
                  <c:v>2010/7/22</c:v>
                </c:pt>
                <c:pt idx="22">
                  <c:v>2010/7/23</c:v>
                </c:pt>
                <c:pt idx="23">
                  <c:v>2010/7/24</c:v>
                </c:pt>
                <c:pt idx="24">
                  <c:v>2010/7/25</c:v>
                </c:pt>
                <c:pt idx="25">
                  <c:v>2010/7/26</c:v>
                </c:pt>
                <c:pt idx="26">
                  <c:v>2010/7/27</c:v>
                </c:pt>
                <c:pt idx="27">
                  <c:v>2010/7/28</c:v>
                </c:pt>
                <c:pt idx="28">
                  <c:v>2010/7/29</c:v>
                </c:pt>
                <c:pt idx="29">
                  <c:v>2010/7/30</c:v>
                </c:pt>
                <c:pt idx="30">
                  <c:v>2010/7/31</c:v>
                </c:pt>
                <c:pt idx="31">
                  <c:v>2010/8/1</c:v>
                </c:pt>
                <c:pt idx="32">
                  <c:v>2010/8/2</c:v>
                </c:pt>
                <c:pt idx="33">
                  <c:v>2010/8/3</c:v>
                </c:pt>
                <c:pt idx="34">
                  <c:v>2010/8/4</c:v>
                </c:pt>
                <c:pt idx="35">
                  <c:v>2010/8/5</c:v>
                </c:pt>
                <c:pt idx="36">
                  <c:v>2010/8/6</c:v>
                </c:pt>
                <c:pt idx="37">
                  <c:v>2010/8/7</c:v>
                </c:pt>
                <c:pt idx="38">
                  <c:v>2010/8/8</c:v>
                </c:pt>
                <c:pt idx="39">
                  <c:v>2010/8/9</c:v>
                </c:pt>
                <c:pt idx="40">
                  <c:v>2010/8/10</c:v>
                </c:pt>
                <c:pt idx="41">
                  <c:v>2010/8/11</c:v>
                </c:pt>
                <c:pt idx="42">
                  <c:v>2010/8/12</c:v>
                </c:pt>
                <c:pt idx="43">
                  <c:v>2010/8/13</c:v>
                </c:pt>
                <c:pt idx="44">
                  <c:v>2010/8/14</c:v>
                </c:pt>
                <c:pt idx="45">
                  <c:v>2010/8/15</c:v>
                </c:pt>
                <c:pt idx="46">
                  <c:v>2010/8/16</c:v>
                </c:pt>
                <c:pt idx="47">
                  <c:v>2010/8/17</c:v>
                </c:pt>
                <c:pt idx="48">
                  <c:v>2010/8/18</c:v>
                </c:pt>
                <c:pt idx="49">
                  <c:v>2010/8/19</c:v>
                </c:pt>
                <c:pt idx="50">
                  <c:v>2010/8/20</c:v>
                </c:pt>
                <c:pt idx="51">
                  <c:v>2010/8/21</c:v>
                </c:pt>
                <c:pt idx="52">
                  <c:v>2010/8/22</c:v>
                </c:pt>
                <c:pt idx="53">
                  <c:v>2010/8/23</c:v>
                </c:pt>
                <c:pt idx="54">
                  <c:v>2010/8/24</c:v>
                </c:pt>
                <c:pt idx="55">
                  <c:v>2010/8/25</c:v>
                </c:pt>
                <c:pt idx="56">
                  <c:v>2010/8/26</c:v>
                </c:pt>
                <c:pt idx="57">
                  <c:v>2010/8/27</c:v>
                </c:pt>
                <c:pt idx="58">
                  <c:v>2010/8/28</c:v>
                </c:pt>
                <c:pt idx="59">
                  <c:v>2010/8/29</c:v>
                </c:pt>
                <c:pt idx="60">
                  <c:v>2010/8/30</c:v>
                </c:pt>
                <c:pt idx="61">
                  <c:v>2010/8/31</c:v>
                </c:pt>
                <c:pt idx="62">
                  <c:v>2010/9/1</c:v>
                </c:pt>
                <c:pt idx="63">
                  <c:v>2010/9/2</c:v>
                </c:pt>
                <c:pt idx="64">
                  <c:v>2010/9/3</c:v>
                </c:pt>
                <c:pt idx="65">
                  <c:v>2010/9/4</c:v>
                </c:pt>
                <c:pt idx="66">
                  <c:v>2010/9/5</c:v>
                </c:pt>
                <c:pt idx="67">
                  <c:v>2010/9/6</c:v>
                </c:pt>
                <c:pt idx="68">
                  <c:v>2010/9/7</c:v>
                </c:pt>
                <c:pt idx="69">
                  <c:v>2010/9/8</c:v>
                </c:pt>
                <c:pt idx="70">
                  <c:v>2010/9/9</c:v>
                </c:pt>
                <c:pt idx="71">
                  <c:v>2010/9/10</c:v>
                </c:pt>
                <c:pt idx="72">
                  <c:v>2010/9/11</c:v>
                </c:pt>
                <c:pt idx="73">
                  <c:v>2010/9/12</c:v>
                </c:pt>
                <c:pt idx="74">
                  <c:v>2010/9/13</c:v>
                </c:pt>
                <c:pt idx="75">
                  <c:v>2010/9/14</c:v>
                </c:pt>
                <c:pt idx="76">
                  <c:v>2010/9/15</c:v>
                </c:pt>
                <c:pt idx="77">
                  <c:v>2010/9/16</c:v>
                </c:pt>
                <c:pt idx="78">
                  <c:v>2010/9/17</c:v>
                </c:pt>
                <c:pt idx="79">
                  <c:v>2010/9/18</c:v>
                </c:pt>
                <c:pt idx="80">
                  <c:v>2010/9/19</c:v>
                </c:pt>
                <c:pt idx="81">
                  <c:v>2010/9/20</c:v>
                </c:pt>
                <c:pt idx="82">
                  <c:v>2010/9/21</c:v>
                </c:pt>
                <c:pt idx="83">
                  <c:v>2010/9/22</c:v>
                </c:pt>
                <c:pt idx="84">
                  <c:v>2010/9/23</c:v>
                </c:pt>
                <c:pt idx="85">
                  <c:v>2010/9/24</c:v>
                </c:pt>
                <c:pt idx="86">
                  <c:v>2010/9/25</c:v>
                </c:pt>
                <c:pt idx="87">
                  <c:v>2010/9/26</c:v>
                </c:pt>
                <c:pt idx="88">
                  <c:v>2010/9/27</c:v>
                </c:pt>
                <c:pt idx="89">
                  <c:v>2010/9/28</c:v>
                </c:pt>
                <c:pt idx="90">
                  <c:v>2010/9/29</c:v>
                </c:pt>
              </c:strCache>
            </c:strRef>
          </c:cat>
          <c:val>
            <c:numRef>
              <c:f>'CLSTRDATA-&lt;cluster&gt;'!$Z$3:$Z$93</c:f>
              <c:numCache>
                <c:formatCode>General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1079.8691615140365</c:v>
                </c:pt>
                <c:pt idx="47">
                  <c:v>1005.5779287300868</c:v>
                </c:pt>
                <c:pt idx="48">
                  <c:v>921.7445810355382</c:v>
                </c:pt>
                <c:pt idx="49">
                  <c:v>911.78248506433829</c:v>
                </c:pt>
                <c:pt idx="50">
                  <c:v>916.8398916207118</c:v>
                </c:pt>
                <c:pt idx="51">
                  <c:v>921.75033988204552</c:v>
                </c:pt>
                <c:pt idx="52">
                  <c:v>922.49623325892856</c:v>
                </c:pt>
                <c:pt idx="53">
                  <c:v>907.07270740327283</c:v>
                </c:pt>
                <c:pt idx="54">
                  <c:v>872.95082435951485</c:v>
                </c:pt>
                <c:pt idx="55">
                  <c:v>907.83817545572913</c:v>
                </c:pt>
                <c:pt idx="56">
                  <c:v>909.4343623408555</c:v>
                </c:pt>
                <c:pt idx="57">
                  <c:v>904.339441370082</c:v>
                </c:pt>
                <c:pt idx="58">
                  <c:v>910.25116644965283</c:v>
                </c:pt>
                <c:pt idx="59">
                  <c:v>910.59716344762637</c:v>
                </c:pt>
                <c:pt idx="60">
                  <c:v>910.3066044560195</c:v>
                </c:pt>
                <c:pt idx="61">
                  <c:v>908.84160698784717</c:v>
                </c:pt>
                <c:pt idx="62">
                  <c:v>818.3412960737179</c:v>
                </c:pt>
                <c:pt idx="63">
                  <c:v>604.182406789889</c:v>
                </c:pt>
                <c:pt idx="64">
                  <c:v>684.99186197916572</c:v>
                </c:pt>
                <c:pt idx="65">
                  <c:v>623.86103686951844</c:v>
                </c:pt>
                <c:pt idx="66">
                  <c:v>637.63331791392636</c:v>
                </c:pt>
                <c:pt idx="67">
                  <c:v>579.47288876488096</c:v>
                </c:pt>
                <c:pt idx="68">
                  <c:v>709.15764202988032</c:v>
                </c:pt>
                <c:pt idx="69">
                  <c:v>754.68929036458417</c:v>
                </c:pt>
                <c:pt idx="70">
                  <c:v>853.70589854335947</c:v>
                </c:pt>
                <c:pt idx="71">
                  <c:v>0</c:v>
                </c:pt>
                <c:pt idx="72">
                  <c:v>0</c:v>
                </c:pt>
                <c:pt idx="73">
                  <c:v>984.32245163690573</c:v>
                </c:pt>
                <c:pt idx="74">
                  <c:v>802.78363825999077</c:v>
                </c:pt>
                <c:pt idx="75">
                  <c:v>889.51471487032245</c:v>
                </c:pt>
                <c:pt idx="76">
                  <c:v>898.18146205357232</c:v>
                </c:pt>
                <c:pt idx="77">
                  <c:v>876.68981799450501</c:v>
                </c:pt>
                <c:pt idx="78">
                  <c:v>911.95820567810392</c:v>
                </c:pt>
                <c:pt idx="79">
                  <c:v>941.797584635416</c:v>
                </c:pt>
                <c:pt idx="80">
                  <c:v>905.51531862745094</c:v>
                </c:pt>
                <c:pt idx="81">
                  <c:v>1174.2988591269834</c:v>
                </c:pt>
                <c:pt idx="82">
                  <c:v>1510.9581318204357</c:v>
                </c:pt>
                <c:pt idx="83">
                  <c:v>1591.1945231119801</c:v>
                </c:pt>
                <c:pt idx="84">
                  <c:v>1481.4441953716864</c:v>
                </c:pt>
                <c:pt idx="85">
                  <c:v>1587.1383384146341</c:v>
                </c:pt>
                <c:pt idx="86">
                  <c:v>1556.3628048780488</c:v>
                </c:pt>
                <c:pt idx="87">
                  <c:v>1538.3165332825195</c:v>
                </c:pt>
                <c:pt idx="88">
                  <c:v>1461.9294370993589</c:v>
                </c:pt>
                <c:pt idx="89">
                  <c:v>1398.9455609237948</c:v>
                </c:pt>
                <c:pt idx="90">
                  <c:v>1156.5032552083342</c:v>
                </c:pt>
              </c:numCache>
            </c:numRef>
          </c:val>
        </c:ser>
        <c:marker val="1"/>
        <c:axId val="107514496"/>
        <c:axId val="107512576"/>
      </c:lineChart>
      <c:dateAx>
        <c:axId val="107500288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直近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ヶ月間 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日次平均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</a:t>
                </a:r>
              </a:p>
            </c:rich>
          </c:tx>
          <c:layout/>
        </c:title>
        <c:numFmt formatCode="yyyy/mm/dd" sourceLinked="1"/>
        <c:tickLblPos val="nextTo"/>
        <c:crossAx val="107502208"/>
        <c:crosses val="autoZero"/>
        <c:auto val="1"/>
        <c:lblOffset val="100"/>
        <c:majorUnit val="7"/>
      </c:dateAx>
      <c:valAx>
        <c:axId val="10750220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メモリ 使用量 </a:t>
                </a:r>
                <a:r>
                  <a:rPr lang="en-US" altLang="ja-JP"/>
                  <a:t>(MB)</a:t>
                </a:r>
                <a:endParaRPr lang="ja-JP" altLang="en-US"/>
              </a:p>
            </c:rich>
          </c:tx>
          <c:layout/>
        </c:title>
        <c:numFmt formatCode="#,##0;[Red]\-#,##0" sourceLinked="0"/>
        <c:tickLblPos val="nextTo"/>
        <c:crossAx val="107500288"/>
        <c:crosses val="autoZero"/>
        <c:crossBetween val="between"/>
      </c:valAx>
      <c:valAx>
        <c:axId val="107512576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/>
                  <a:t>Mem Consumed per VM (MB)</a:t>
                </a:r>
                <a:endParaRPr lang="ja-JP" altLang="en-US"/>
              </a:p>
            </c:rich>
          </c:tx>
          <c:layout/>
        </c:title>
        <c:numFmt formatCode="General" sourceLinked="1"/>
        <c:tickLblPos val="nextTo"/>
        <c:crossAx val="107514496"/>
        <c:crosses val="max"/>
        <c:crossBetween val="between"/>
      </c:valAx>
      <c:catAx>
        <c:axId val="107514496"/>
        <c:scaling>
          <c:orientation val="minMax"/>
        </c:scaling>
        <c:delete val="1"/>
        <c:axPos val="b"/>
        <c:numFmt formatCode="General" sourceLinked="1"/>
        <c:tickLblPos val="none"/>
        <c:crossAx val="10751257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0.10947494860808279"/>
          <c:y val="0.60537881621144962"/>
          <c:w val="0.16786142744317598"/>
          <c:h val="0.15208175951628541"/>
        </c:manualLayout>
      </c:layout>
      <c:overlay val="1"/>
      <c:spPr>
        <a:solidFill>
          <a:schemeClr val="bg1">
            <a:lumMod val="95000"/>
          </a:schemeClr>
        </a:solidFill>
      </c:spPr>
    </c:legend>
    <c:plotVisOnly val="1"/>
    <c:dispBlanksAs val="gap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クラスタレベル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 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バルーン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/ 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スワップ メモリ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/ </a:t>
            </a:r>
            <a:r>
              <a:rPr lang="en-US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Power ON VM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数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
&lt;</a:t>
            </a:r>
            <a:r>
              <a:rPr lang="en-US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cluster&gt;</a:t>
            </a:r>
            <a:endParaRPr lang="en-US" altLang="ja-JP" sz="12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c:rich>
      </c:tx>
      <c:layout>
        <c:manualLayout>
          <c:xMode val="edge"/>
          <c:yMode val="edge"/>
          <c:x val="0.31525458013434388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8.1437290907874924E-2"/>
          <c:y val="9.1303243551810492E-2"/>
          <c:w val="0.85920531425699065"/>
          <c:h val="0.74303783902012688"/>
        </c:manualLayout>
      </c:layout>
      <c:lineChart>
        <c:grouping val="standard"/>
        <c:ser>
          <c:idx val="1"/>
          <c:order val="0"/>
          <c:tx>
            <c:strRef>
              <c:f>'CLSTRDATA-&lt;cluster&gt;'!$K$2</c:f>
              <c:strCache>
                <c:ptCount val="1"/>
                <c:pt idx="0">
                  <c:v>Mem Baloon (MB)</c:v>
                </c:pt>
              </c:strCache>
            </c:strRef>
          </c:tx>
          <c:spPr>
            <a:ln w="22225">
              <a:solidFill>
                <a:schemeClr val="accent6">
                  <a:lumMod val="20000"/>
                  <a:lumOff val="80000"/>
                </a:schemeClr>
              </a:solidFill>
            </a:ln>
          </c:spPr>
          <c:marker>
            <c:symbol val="triangle"/>
            <c:size val="7"/>
            <c:spPr>
              <a:solidFill>
                <a:srgbClr val="FFC000"/>
              </a:solidFill>
              <a:ln>
                <a:noFill/>
              </a:ln>
            </c:spPr>
          </c:marker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'CLSTRDATA-&lt;cluster&gt;'!$K$3:$K$93</c:f>
              <c:numCache>
                <c:formatCode>General</c:formatCode>
                <c:ptCount val="91"/>
                <c:pt idx="0">
                  <c:v>1049.3994140625</c:v>
                </c:pt>
                <c:pt idx="1">
                  <c:v>373.8251953125</c:v>
                </c:pt>
                <c:pt idx="2">
                  <c:v>336.5673828125</c:v>
                </c:pt>
                <c:pt idx="3">
                  <c:v>471.96484375</c:v>
                </c:pt>
                <c:pt idx="4">
                  <c:v>379.3251953125</c:v>
                </c:pt>
                <c:pt idx="5">
                  <c:v>365.1357421875</c:v>
                </c:pt>
                <c:pt idx="6">
                  <c:v>334.912109375</c:v>
                </c:pt>
                <c:pt idx="7">
                  <c:v>449.5673828125</c:v>
                </c:pt>
                <c:pt idx="8">
                  <c:v>321.4833984375</c:v>
                </c:pt>
                <c:pt idx="9">
                  <c:v>290.4619140625</c:v>
                </c:pt>
                <c:pt idx="10">
                  <c:v>333.7939453125</c:v>
                </c:pt>
                <c:pt idx="11">
                  <c:v>507.9267578125</c:v>
                </c:pt>
                <c:pt idx="12">
                  <c:v>504.099609375</c:v>
                </c:pt>
                <c:pt idx="13">
                  <c:v>518.5546875</c:v>
                </c:pt>
                <c:pt idx="14">
                  <c:v>517.49609375</c:v>
                </c:pt>
                <c:pt idx="15">
                  <c:v>518.0654296875</c:v>
                </c:pt>
                <c:pt idx="16">
                  <c:v>457.4833984375</c:v>
                </c:pt>
                <c:pt idx="17">
                  <c:v>483.0498046875</c:v>
                </c:pt>
                <c:pt idx="18">
                  <c:v>481.6083984375</c:v>
                </c:pt>
                <c:pt idx="19">
                  <c:v>448.951171875</c:v>
                </c:pt>
                <c:pt idx="20">
                  <c:v>152.69140625</c:v>
                </c:pt>
                <c:pt idx="21">
                  <c:v>1851.5703125</c:v>
                </c:pt>
                <c:pt idx="22">
                  <c:v>1792.671875</c:v>
                </c:pt>
                <c:pt idx="23">
                  <c:v>1792.671875</c:v>
                </c:pt>
                <c:pt idx="24">
                  <c:v>2586.3193359375</c:v>
                </c:pt>
                <c:pt idx="25">
                  <c:v>1792.671875</c:v>
                </c:pt>
                <c:pt idx="39">
                  <c:v>687.9306640625</c:v>
                </c:pt>
                <c:pt idx="40">
                  <c:v>164.41796875</c:v>
                </c:pt>
                <c:pt idx="62">
                  <c:v>67.0380859375</c:v>
                </c:pt>
                <c:pt idx="67">
                  <c:v>813.1259765625</c:v>
                </c:pt>
                <c:pt idx="68">
                  <c:v>425.0849609375</c:v>
                </c:pt>
                <c:pt idx="69">
                  <c:v>1901.1611328125</c:v>
                </c:pt>
                <c:pt idx="70">
                  <c:v>1763.251953125</c:v>
                </c:pt>
                <c:pt idx="74">
                  <c:v>165.36328125</c:v>
                </c:pt>
                <c:pt idx="75">
                  <c:v>138.90234375</c:v>
                </c:pt>
                <c:pt idx="76">
                  <c:v>229.1708984375</c:v>
                </c:pt>
                <c:pt idx="77">
                  <c:v>470.40234375</c:v>
                </c:pt>
                <c:pt idx="78">
                  <c:v>193.75390625</c:v>
                </c:pt>
                <c:pt idx="79">
                  <c:v>236.46484375</c:v>
                </c:pt>
                <c:pt idx="80">
                  <c:v>246.17578125</c:v>
                </c:pt>
                <c:pt idx="81">
                  <c:v>255.7216796875</c:v>
                </c:pt>
                <c:pt idx="82">
                  <c:v>337.4990234375</c:v>
                </c:pt>
                <c:pt idx="83">
                  <c:v>332.6943359375</c:v>
                </c:pt>
                <c:pt idx="84">
                  <c:v>601.193359375</c:v>
                </c:pt>
                <c:pt idx="85">
                  <c:v>994.5244140625</c:v>
                </c:pt>
                <c:pt idx="86">
                  <c:v>252.4404296875</c:v>
                </c:pt>
                <c:pt idx="87">
                  <c:v>233.0576171875</c:v>
                </c:pt>
                <c:pt idx="88">
                  <c:v>251.5458984375</c:v>
                </c:pt>
              </c:numCache>
            </c:numRef>
          </c:val>
        </c:ser>
        <c:ser>
          <c:idx val="5"/>
          <c:order val="1"/>
          <c:tx>
            <c:strRef>
              <c:f>'CLSTRDATA-&lt;cluster&gt;'!$L$2</c:f>
              <c:strCache>
                <c:ptCount val="1"/>
                <c:pt idx="0">
                  <c:v>Mem Swap (MB)</c:v>
                </c:pt>
              </c:strCache>
            </c:strRef>
          </c:tx>
          <c:spPr>
            <a:ln w="22225"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x"/>
            <c:size val="5"/>
            <c:spPr>
              <a:noFill/>
              <a:ln w="22225">
                <a:solidFill>
                  <a:schemeClr val="accent2"/>
                </a:solidFill>
              </a:ln>
            </c:spPr>
          </c:marker>
          <c:cat>
            <c:numRef>
              <c:f>'CLSTRDATA-&lt;cluster&gt;'!$B$3:$B$93</c:f>
              <c:numCache>
                <c:formatCode>yyyy/mm/dd</c:formatCode>
                <c:ptCount val="91"/>
                <c:pt idx="0">
                  <c:v>40361</c:v>
                </c:pt>
                <c:pt idx="1">
                  <c:v>40362</c:v>
                </c:pt>
                <c:pt idx="2">
                  <c:v>40363</c:v>
                </c:pt>
                <c:pt idx="3">
                  <c:v>40364</c:v>
                </c:pt>
                <c:pt idx="4">
                  <c:v>40365</c:v>
                </c:pt>
                <c:pt idx="5">
                  <c:v>40366</c:v>
                </c:pt>
                <c:pt idx="6">
                  <c:v>40367</c:v>
                </c:pt>
                <c:pt idx="7">
                  <c:v>40368</c:v>
                </c:pt>
                <c:pt idx="8">
                  <c:v>40369</c:v>
                </c:pt>
                <c:pt idx="9">
                  <c:v>40370</c:v>
                </c:pt>
                <c:pt idx="10">
                  <c:v>40371</c:v>
                </c:pt>
                <c:pt idx="11">
                  <c:v>40372</c:v>
                </c:pt>
                <c:pt idx="12">
                  <c:v>40373</c:v>
                </c:pt>
                <c:pt idx="13">
                  <c:v>40374</c:v>
                </c:pt>
                <c:pt idx="14">
                  <c:v>40375</c:v>
                </c:pt>
                <c:pt idx="15">
                  <c:v>40376</c:v>
                </c:pt>
                <c:pt idx="16">
                  <c:v>40377</c:v>
                </c:pt>
                <c:pt idx="17">
                  <c:v>40378</c:v>
                </c:pt>
                <c:pt idx="18">
                  <c:v>40379</c:v>
                </c:pt>
                <c:pt idx="19">
                  <c:v>40380</c:v>
                </c:pt>
                <c:pt idx="20">
                  <c:v>40381</c:v>
                </c:pt>
                <c:pt idx="21">
                  <c:v>40382</c:v>
                </c:pt>
                <c:pt idx="22">
                  <c:v>40383</c:v>
                </c:pt>
                <c:pt idx="23">
                  <c:v>40384</c:v>
                </c:pt>
                <c:pt idx="24">
                  <c:v>40385</c:v>
                </c:pt>
                <c:pt idx="25">
                  <c:v>40386</c:v>
                </c:pt>
                <c:pt idx="26">
                  <c:v>40387</c:v>
                </c:pt>
                <c:pt idx="27">
                  <c:v>40388</c:v>
                </c:pt>
                <c:pt idx="28">
                  <c:v>40389</c:v>
                </c:pt>
                <c:pt idx="29">
                  <c:v>40390</c:v>
                </c:pt>
                <c:pt idx="30">
                  <c:v>40391</c:v>
                </c:pt>
                <c:pt idx="31">
                  <c:v>40392</c:v>
                </c:pt>
                <c:pt idx="32">
                  <c:v>40393</c:v>
                </c:pt>
                <c:pt idx="33">
                  <c:v>40394</c:v>
                </c:pt>
                <c:pt idx="34">
                  <c:v>40395</c:v>
                </c:pt>
                <c:pt idx="35">
                  <c:v>40396</c:v>
                </c:pt>
                <c:pt idx="36">
                  <c:v>40397</c:v>
                </c:pt>
                <c:pt idx="37">
                  <c:v>40398</c:v>
                </c:pt>
                <c:pt idx="38">
                  <c:v>40399</c:v>
                </c:pt>
                <c:pt idx="39">
                  <c:v>40400</c:v>
                </c:pt>
                <c:pt idx="40">
                  <c:v>40401</c:v>
                </c:pt>
                <c:pt idx="41">
                  <c:v>40402</c:v>
                </c:pt>
                <c:pt idx="42">
                  <c:v>40403</c:v>
                </c:pt>
                <c:pt idx="43">
                  <c:v>40404</c:v>
                </c:pt>
                <c:pt idx="44">
                  <c:v>40405</c:v>
                </c:pt>
                <c:pt idx="45">
                  <c:v>40406</c:v>
                </c:pt>
                <c:pt idx="46">
                  <c:v>40407</c:v>
                </c:pt>
                <c:pt idx="47">
                  <c:v>40408</c:v>
                </c:pt>
                <c:pt idx="48">
                  <c:v>40409</c:v>
                </c:pt>
                <c:pt idx="49">
                  <c:v>40410</c:v>
                </c:pt>
                <c:pt idx="50">
                  <c:v>40411</c:v>
                </c:pt>
                <c:pt idx="51">
                  <c:v>40412</c:v>
                </c:pt>
                <c:pt idx="52">
                  <c:v>40413</c:v>
                </c:pt>
                <c:pt idx="53">
                  <c:v>40414</c:v>
                </c:pt>
                <c:pt idx="54">
                  <c:v>40415</c:v>
                </c:pt>
                <c:pt idx="55">
                  <c:v>40416</c:v>
                </c:pt>
                <c:pt idx="56">
                  <c:v>40417</c:v>
                </c:pt>
                <c:pt idx="57">
                  <c:v>40418</c:v>
                </c:pt>
                <c:pt idx="58">
                  <c:v>40419</c:v>
                </c:pt>
                <c:pt idx="59">
                  <c:v>40420</c:v>
                </c:pt>
                <c:pt idx="60">
                  <c:v>40421</c:v>
                </c:pt>
                <c:pt idx="61">
                  <c:v>40422</c:v>
                </c:pt>
                <c:pt idx="62">
                  <c:v>40423</c:v>
                </c:pt>
                <c:pt idx="63">
                  <c:v>40424</c:v>
                </c:pt>
                <c:pt idx="64">
                  <c:v>40425</c:v>
                </c:pt>
                <c:pt idx="65">
                  <c:v>40426</c:v>
                </c:pt>
                <c:pt idx="66">
                  <c:v>40427</c:v>
                </c:pt>
                <c:pt idx="67">
                  <c:v>40428</c:v>
                </c:pt>
                <c:pt idx="68">
                  <c:v>40429</c:v>
                </c:pt>
                <c:pt idx="69">
                  <c:v>40430</c:v>
                </c:pt>
                <c:pt idx="70">
                  <c:v>40431</c:v>
                </c:pt>
                <c:pt idx="71">
                  <c:v>40432</c:v>
                </c:pt>
                <c:pt idx="72">
                  <c:v>40433</c:v>
                </c:pt>
                <c:pt idx="73">
                  <c:v>40434</c:v>
                </c:pt>
                <c:pt idx="74">
                  <c:v>40435</c:v>
                </c:pt>
                <c:pt idx="75">
                  <c:v>40436</c:v>
                </c:pt>
                <c:pt idx="76">
                  <c:v>40437</c:v>
                </c:pt>
                <c:pt idx="77">
                  <c:v>40438</c:v>
                </c:pt>
                <c:pt idx="78">
                  <c:v>40439</c:v>
                </c:pt>
                <c:pt idx="79">
                  <c:v>40440</c:v>
                </c:pt>
                <c:pt idx="80">
                  <c:v>40441</c:v>
                </c:pt>
                <c:pt idx="81">
                  <c:v>40442</c:v>
                </c:pt>
                <c:pt idx="82">
                  <c:v>40443</c:v>
                </c:pt>
                <c:pt idx="83">
                  <c:v>40444</c:v>
                </c:pt>
                <c:pt idx="84">
                  <c:v>40445</c:v>
                </c:pt>
                <c:pt idx="85">
                  <c:v>40446</c:v>
                </c:pt>
                <c:pt idx="86">
                  <c:v>40447</c:v>
                </c:pt>
                <c:pt idx="87">
                  <c:v>40448</c:v>
                </c:pt>
                <c:pt idx="88">
                  <c:v>40449</c:v>
                </c:pt>
                <c:pt idx="89">
                  <c:v>40450</c:v>
                </c:pt>
                <c:pt idx="90">
                  <c:v>40451</c:v>
                </c:pt>
              </c:numCache>
            </c:numRef>
          </c:cat>
          <c:val>
            <c:numRef>
              <c:f>'CLSTRDATA-&lt;cluster&gt;'!$L$3:$L$93</c:f>
              <c:numCache>
                <c:formatCode>General</c:formatCode>
                <c:ptCount val="91"/>
                <c:pt idx="26">
                  <c:v>50.0546875</c:v>
                </c:pt>
                <c:pt idx="27">
                  <c:v>49.546875</c:v>
                </c:pt>
                <c:pt idx="28">
                  <c:v>44.9453125</c:v>
                </c:pt>
                <c:pt idx="29">
                  <c:v>43.80078125</c:v>
                </c:pt>
                <c:pt idx="30">
                  <c:v>43.80078125</c:v>
                </c:pt>
                <c:pt idx="31">
                  <c:v>43.30859375</c:v>
                </c:pt>
                <c:pt idx="32">
                  <c:v>47.1689453125</c:v>
                </c:pt>
                <c:pt idx="61">
                  <c:v>48.8515625</c:v>
                </c:pt>
                <c:pt idx="62">
                  <c:v>48.8515625</c:v>
                </c:pt>
                <c:pt idx="63">
                  <c:v>665.2451171875</c:v>
                </c:pt>
                <c:pt idx="64">
                  <c:v>371.0810546875</c:v>
                </c:pt>
                <c:pt idx="65">
                  <c:v>319.8330078125</c:v>
                </c:pt>
                <c:pt idx="66">
                  <c:v>250.1064453125</c:v>
                </c:pt>
                <c:pt idx="67">
                  <c:v>274.26171875</c:v>
                </c:pt>
                <c:pt idx="68">
                  <c:v>62.0029296875</c:v>
                </c:pt>
                <c:pt idx="69">
                  <c:v>191.6181640625</c:v>
                </c:pt>
                <c:pt idx="70">
                  <c:v>147.6689453125</c:v>
                </c:pt>
                <c:pt idx="73">
                  <c:v>48.109375</c:v>
                </c:pt>
                <c:pt idx="74">
                  <c:v>214.32421875</c:v>
                </c:pt>
                <c:pt idx="75">
                  <c:v>95.87890625</c:v>
                </c:pt>
                <c:pt idx="76">
                  <c:v>57.1962890625</c:v>
                </c:pt>
                <c:pt idx="77">
                  <c:v>54.9765625</c:v>
                </c:pt>
                <c:pt idx="78">
                  <c:v>48.5244140625</c:v>
                </c:pt>
                <c:pt idx="79">
                  <c:v>47.94140625</c:v>
                </c:pt>
                <c:pt idx="80">
                  <c:v>36.10546875</c:v>
                </c:pt>
                <c:pt idx="81">
                  <c:v>35.5908203125</c:v>
                </c:pt>
                <c:pt idx="82">
                  <c:v>18.8125</c:v>
                </c:pt>
                <c:pt idx="83">
                  <c:v>18.421875</c:v>
                </c:pt>
                <c:pt idx="84">
                  <c:v>127.42578125</c:v>
                </c:pt>
                <c:pt idx="85">
                  <c:v>219.0625</c:v>
                </c:pt>
                <c:pt idx="86">
                  <c:v>173.5576171875</c:v>
                </c:pt>
                <c:pt idx="87">
                  <c:v>167.0244140625</c:v>
                </c:pt>
                <c:pt idx="88">
                  <c:v>156.4765625</c:v>
                </c:pt>
                <c:pt idx="89">
                  <c:v>24.97265625</c:v>
                </c:pt>
                <c:pt idx="90">
                  <c:v>24.4765625</c:v>
                </c:pt>
              </c:numCache>
            </c:numRef>
          </c:val>
        </c:ser>
        <c:marker val="1"/>
        <c:axId val="107556224"/>
        <c:axId val="107570688"/>
      </c:lineChart>
      <c:lineChart>
        <c:grouping val="standard"/>
        <c:ser>
          <c:idx val="6"/>
          <c:order val="2"/>
          <c:tx>
            <c:strRef>
              <c:f>'CLSTRDATA-&lt;cluster&gt;'!$F$2</c:f>
              <c:strCache>
                <c:ptCount val="1"/>
                <c:pt idx="0">
                  <c:v>Power ON VMs Mem (MB)</c:v>
                </c:pt>
              </c:strCache>
            </c:strRef>
          </c:tx>
          <c:spPr>
            <a:ln w="22225"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strRef>
              <c:f>'CLSTRDATA-&lt;cluster&gt;'!$B$2:$B$93</c:f>
              <c:strCache>
                <c:ptCount val="92"/>
                <c:pt idx="0">
                  <c:v>Date</c:v>
                </c:pt>
                <c:pt idx="1">
                  <c:v>2010/7/2</c:v>
                </c:pt>
                <c:pt idx="2">
                  <c:v>2010/7/3</c:v>
                </c:pt>
                <c:pt idx="3">
                  <c:v>2010/7/4</c:v>
                </c:pt>
                <c:pt idx="4">
                  <c:v>2010/7/5</c:v>
                </c:pt>
                <c:pt idx="5">
                  <c:v>2010/7/6</c:v>
                </c:pt>
                <c:pt idx="6">
                  <c:v>2010/7/7</c:v>
                </c:pt>
                <c:pt idx="7">
                  <c:v>2010/7/8</c:v>
                </c:pt>
                <c:pt idx="8">
                  <c:v>2010/7/9</c:v>
                </c:pt>
                <c:pt idx="9">
                  <c:v>2010/7/10</c:v>
                </c:pt>
                <c:pt idx="10">
                  <c:v>2010/7/11</c:v>
                </c:pt>
                <c:pt idx="11">
                  <c:v>2010/7/12</c:v>
                </c:pt>
                <c:pt idx="12">
                  <c:v>2010/7/13</c:v>
                </c:pt>
                <c:pt idx="13">
                  <c:v>2010/7/14</c:v>
                </c:pt>
                <c:pt idx="14">
                  <c:v>2010/7/15</c:v>
                </c:pt>
                <c:pt idx="15">
                  <c:v>2010/7/16</c:v>
                </c:pt>
                <c:pt idx="16">
                  <c:v>2010/7/17</c:v>
                </c:pt>
                <c:pt idx="17">
                  <c:v>2010/7/18</c:v>
                </c:pt>
                <c:pt idx="18">
                  <c:v>2010/7/19</c:v>
                </c:pt>
                <c:pt idx="19">
                  <c:v>2010/7/20</c:v>
                </c:pt>
                <c:pt idx="20">
                  <c:v>2010/7/21</c:v>
                </c:pt>
                <c:pt idx="21">
                  <c:v>2010/7/22</c:v>
                </c:pt>
                <c:pt idx="22">
                  <c:v>2010/7/23</c:v>
                </c:pt>
                <c:pt idx="23">
                  <c:v>2010/7/24</c:v>
                </c:pt>
                <c:pt idx="24">
                  <c:v>2010/7/25</c:v>
                </c:pt>
                <c:pt idx="25">
                  <c:v>2010/7/26</c:v>
                </c:pt>
                <c:pt idx="26">
                  <c:v>2010/7/27</c:v>
                </c:pt>
                <c:pt idx="27">
                  <c:v>2010/7/28</c:v>
                </c:pt>
                <c:pt idx="28">
                  <c:v>2010/7/29</c:v>
                </c:pt>
                <c:pt idx="29">
                  <c:v>2010/7/30</c:v>
                </c:pt>
                <c:pt idx="30">
                  <c:v>2010/7/31</c:v>
                </c:pt>
                <c:pt idx="31">
                  <c:v>2010/8/1</c:v>
                </c:pt>
                <c:pt idx="32">
                  <c:v>2010/8/2</c:v>
                </c:pt>
                <c:pt idx="33">
                  <c:v>2010/8/3</c:v>
                </c:pt>
                <c:pt idx="34">
                  <c:v>2010/8/4</c:v>
                </c:pt>
                <c:pt idx="35">
                  <c:v>2010/8/5</c:v>
                </c:pt>
                <c:pt idx="36">
                  <c:v>2010/8/6</c:v>
                </c:pt>
                <c:pt idx="37">
                  <c:v>2010/8/7</c:v>
                </c:pt>
                <c:pt idx="38">
                  <c:v>2010/8/8</c:v>
                </c:pt>
                <c:pt idx="39">
                  <c:v>2010/8/9</c:v>
                </c:pt>
                <c:pt idx="40">
                  <c:v>2010/8/10</c:v>
                </c:pt>
                <c:pt idx="41">
                  <c:v>2010/8/11</c:v>
                </c:pt>
                <c:pt idx="42">
                  <c:v>2010/8/12</c:v>
                </c:pt>
                <c:pt idx="43">
                  <c:v>2010/8/13</c:v>
                </c:pt>
                <c:pt idx="44">
                  <c:v>2010/8/14</c:v>
                </c:pt>
                <c:pt idx="45">
                  <c:v>2010/8/15</c:v>
                </c:pt>
                <c:pt idx="46">
                  <c:v>2010/8/16</c:v>
                </c:pt>
                <c:pt idx="47">
                  <c:v>2010/8/17</c:v>
                </c:pt>
                <c:pt idx="48">
                  <c:v>2010/8/18</c:v>
                </c:pt>
                <c:pt idx="49">
                  <c:v>2010/8/19</c:v>
                </c:pt>
                <c:pt idx="50">
                  <c:v>2010/8/20</c:v>
                </c:pt>
                <c:pt idx="51">
                  <c:v>2010/8/21</c:v>
                </c:pt>
                <c:pt idx="52">
                  <c:v>2010/8/22</c:v>
                </c:pt>
                <c:pt idx="53">
                  <c:v>2010/8/23</c:v>
                </c:pt>
                <c:pt idx="54">
                  <c:v>2010/8/24</c:v>
                </c:pt>
                <c:pt idx="55">
                  <c:v>2010/8/25</c:v>
                </c:pt>
                <c:pt idx="56">
                  <c:v>2010/8/26</c:v>
                </c:pt>
                <c:pt idx="57">
                  <c:v>2010/8/27</c:v>
                </c:pt>
                <c:pt idx="58">
                  <c:v>2010/8/28</c:v>
                </c:pt>
                <c:pt idx="59">
                  <c:v>2010/8/29</c:v>
                </c:pt>
                <c:pt idx="60">
                  <c:v>2010/8/30</c:v>
                </c:pt>
                <c:pt idx="61">
                  <c:v>2010/8/31</c:v>
                </c:pt>
                <c:pt idx="62">
                  <c:v>2010/9/1</c:v>
                </c:pt>
                <c:pt idx="63">
                  <c:v>2010/9/2</c:v>
                </c:pt>
                <c:pt idx="64">
                  <c:v>2010/9/3</c:v>
                </c:pt>
                <c:pt idx="65">
                  <c:v>2010/9/4</c:v>
                </c:pt>
                <c:pt idx="66">
                  <c:v>2010/9/5</c:v>
                </c:pt>
                <c:pt idx="67">
                  <c:v>2010/9/6</c:v>
                </c:pt>
                <c:pt idx="68">
                  <c:v>2010/9/7</c:v>
                </c:pt>
                <c:pt idx="69">
                  <c:v>2010/9/8</c:v>
                </c:pt>
                <c:pt idx="70">
                  <c:v>2010/9/9</c:v>
                </c:pt>
                <c:pt idx="71">
                  <c:v>2010/9/10</c:v>
                </c:pt>
                <c:pt idx="72">
                  <c:v>2010/9/11</c:v>
                </c:pt>
                <c:pt idx="73">
                  <c:v>2010/9/12</c:v>
                </c:pt>
                <c:pt idx="74">
                  <c:v>2010/9/13</c:v>
                </c:pt>
                <c:pt idx="75">
                  <c:v>2010/9/14</c:v>
                </c:pt>
                <c:pt idx="76">
                  <c:v>2010/9/15</c:v>
                </c:pt>
                <c:pt idx="77">
                  <c:v>2010/9/16</c:v>
                </c:pt>
                <c:pt idx="78">
                  <c:v>2010/9/17</c:v>
                </c:pt>
                <c:pt idx="79">
                  <c:v>2010/9/18</c:v>
                </c:pt>
                <c:pt idx="80">
                  <c:v>2010/9/19</c:v>
                </c:pt>
                <c:pt idx="81">
                  <c:v>2010/9/20</c:v>
                </c:pt>
                <c:pt idx="82">
                  <c:v>2010/9/21</c:v>
                </c:pt>
                <c:pt idx="83">
                  <c:v>2010/9/22</c:v>
                </c:pt>
                <c:pt idx="84">
                  <c:v>2010/9/23</c:v>
                </c:pt>
                <c:pt idx="85">
                  <c:v>2010/9/24</c:v>
                </c:pt>
                <c:pt idx="86">
                  <c:v>2010/9/25</c:v>
                </c:pt>
                <c:pt idx="87">
                  <c:v>2010/9/26</c:v>
                </c:pt>
                <c:pt idx="88">
                  <c:v>2010/9/27</c:v>
                </c:pt>
                <c:pt idx="89">
                  <c:v>2010/9/28</c:v>
                </c:pt>
                <c:pt idx="90">
                  <c:v>2010/9/29</c:v>
                </c:pt>
                <c:pt idx="91">
                  <c:v>2010/9/30</c:v>
                </c:pt>
              </c:strCache>
            </c:strRef>
          </c:cat>
          <c:val>
            <c:numRef>
              <c:f>'CLSTRDATA-&lt;cluster&gt;'!$F$3:$F$93</c:f>
              <c:numCache>
                <c:formatCode>General</c:formatCode>
                <c:ptCount val="91"/>
                <c:pt idx="0">
                  <c:v>74752</c:v>
                </c:pt>
                <c:pt idx="1">
                  <c:v>67584</c:v>
                </c:pt>
                <c:pt idx="2">
                  <c:v>67584</c:v>
                </c:pt>
                <c:pt idx="3">
                  <c:v>67584</c:v>
                </c:pt>
                <c:pt idx="4">
                  <c:v>66304</c:v>
                </c:pt>
                <c:pt idx="5">
                  <c:v>65280</c:v>
                </c:pt>
                <c:pt idx="6">
                  <c:v>65280</c:v>
                </c:pt>
                <c:pt idx="7">
                  <c:v>65280</c:v>
                </c:pt>
                <c:pt idx="8">
                  <c:v>57088</c:v>
                </c:pt>
                <c:pt idx="9">
                  <c:v>57088</c:v>
                </c:pt>
                <c:pt idx="10">
                  <c:v>65280</c:v>
                </c:pt>
                <c:pt idx="11">
                  <c:v>65280</c:v>
                </c:pt>
                <c:pt idx="12">
                  <c:v>65536</c:v>
                </c:pt>
                <c:pt idx="13">
                  <c:v>65536</c:v>
                </c:pt>
                <c:pt idx="14">
                  <c:v>67328</c:v>
                </c:pt>
                <c:pt idx="15">
                  <c:v>67328</c:v>
                </c:pt>
                <c:pt idx="16">
                  <c:v>67328</c:v>
                </c:pt>
                <c:pt idx="17">
                  <c:v>67328</c:v>
                </c:pt>
                <c:pt idx="18">
                  <c:v>67328</c:v>
                </c:pt>
                <c:pt idx="19">
                  <c:v>71424</c:v>
                </c:pt>
                <c:pt idx="20">
                  <c:v>68864</c:v>
                </c:pt>
                <c:pt idx="21">
                  <c:v>70912</c:v>
                </c:pt>
                <c:pt idx="22">
                  <c:v>70912</c:v>
                </c:pt>
                <c:pt idx="23">
                  <c:v>70912</c:v>
                </c:pt>
                <c:pt idx="24">
                  <c:v>72448</c:v>
                </c:pt>
                <c:pt idx="25">
                  <c:v>73984</c:v>
                </c:pt>
                <c:pt idx="26">
                  <c:v>64512</c:v>
                </c:pt>
                <c:pt idx="27">
                  <c:v>67584</c:v>
                </c:pt>
                <c:pt idx="28">
                  <c:v>67584</c:v>
                </c:pt>
                <c:pt idx="29">
                  <c:v>67584</c:v>
                </c:pt>
                <c:pt idx="30">
                  <c:v>67584</c:v>
                </c:pt>
                <c:pt idx="31">
                  <c:v>70656</c:v>
                </c:pt>
                <c:pt idx="32">
                  <c:v>72224</c:v>
                </c:pt>
                <c:pt idx="33">
                  <c:v>72224</c:v>
                </c:pt>
                <c:pt idx="34">
                  <c:v>70160</c:v>
                </c:pt>
                <c:pt idx="35">
                  <c:v>70160</c:v>
                </c:pt>
                <c:pt idx="36">
                  <c:v>70160</c:v>
                </c:pt>
                <c:pt idx="37">
                  <c:v>70160</c:v>
                </c:pt>
                <c:pt idx="38">
                  <c:v>70160</c:v>
                </c:pt>
                <c:pt idx="39">
                  <c:v>70160</c:v>
                </c:pt>
                <c:pt idx="40">
                  <c:v>71184</c:v>
                </c:pt>
                <c:pt idx="41">
                  <c:v>72208</c:v>
                </c:pt>
                <c:pt idx="42">
                  <c:v>72208</c:v>
                </c:pt>
                <c:pt idx="43">
                  <c:v>72208</c:v>
                </c:pt>
                <c:pt idx="44">
                  <c:v>72208</c:v>
                </c:pt>
                <c:pt idx="45">
                  <c:v>72208</c:v>
                </c:pt>
                <c:pt idx="46">
                  <c:v>72208</c:v>
                </c:pt>
                <c:pt idx="47">
                  <c:v>72208</c:v>
                </c:pt>
                <c:pt idx="48">
                  <c:v>72208</c:v>
                </c:pt>
                <c:pt idx="49">
                  <c:v>72208</c:v>
                </c:pt>
                <c:pt idx="50">
                  <c:v>72208</c:v>
                </c:pt>
                <c:pt idx="51">
                  <c:v>72208</c:v>
                </c:pt>
                <c:pt idx="52">
                  <c:v>74256</c:v>
                </c:pt>
                <c:pt idx="53">
                  <c:v>72464</c:v>
                </c:pt>
                <c:pt idx="54">
                  <c:v>73744</c:v>
                </c:pt>
                <c:pt idx="55">
                  <c:v>73488</c:v>
                </c:pt>
                <c:pt idx="56">
                  <c:v>73488</c:v>
                </c:pt>
                <c:pt idx="57">
                  <c:v>73488</c:v>
                </c:pt>
                <c:pt idx="58">
                  <c:v>73488</c:v>
                </c:pt>
                <c:pt idx="59">
                  <c:v>73488</c:v>
                </c:pt>
                <c:pt idx="60">
                  <c:v>73488</c:v>
                </c:pt>
                <c:pt idx="61">
                  <c:v>73488</c:v>
                </c:pt>
                <c:pt idx="62">
                  <c:v>75552</c:v>
                </c:pt>
                <c:pt idx="63">
                  <c:v>79648</c:v>
                </c:pt>
                <c:pt idx="64">
                  <c:v>78352</c:v>
                </c:pt>
                <c:pt idx="65">
                  <c:v>78352</c:v>
                </c:pt>
                <c:pt idx="66">
                  <c:v>78352</c:v>
                </c:pt>
                <c:pt idx="67">
                  <c:v>81936</c:v>
                </c:pt>
                <c:pt idx="68">
                  <c:v>79360</c:v>
                </c:pt>
                <c:pt idx="69">
                  <c:v>80128</c:v>
                </c:pt>
                <c:pt idx="70">
                  <c:v>80128</c:v>
                </c:pt>
                <c:pt idx="73">
                  <c:v>69408</c:v>
                </c:pt>
                <c:pt idx="74">
                  <c:v>95264</c:v>
                </c:pt>
                <c:pt idx="75">
                  <c:v>96288</c:v>
                </c:pt>
                <c:pt idx="76">
                  <c:v>95776</c:v>
                </c:pt>
                <c:pt idx="77">
                  <c:v>95808</c:v>
                </c:pt>
                <c:pt idx="78">
                  <c:v>99872</c:v>
                </c:pt>
                <c:pt idx="79">
                  <c:v>98848</c:v>
                </c:pt>
                <c:pt idx="80">
                  <c:v>99872</c:v>
                </c:pt>
                <c:pt idx="81">
                  <c:v>101408</c:v>
                </c:pt>
                <c:pt idx="82">
                  <c:v>102432</c:v>
                </c:pt>
                <c:pt idx="83">
                  <c:v>100384</c:v>
                </c:pt>
                <c:pt idx="84">
                  <c:v>111648</c:v>
                </c:pt>
                <c:pt idx="85">
                  <c:v>107552</c:v>
                </c:pt>
                <c:pt idx="86">
                  <c:v>107552</c:v>
                </c:pt>
                <c:pt idx="87">
                  <c:v>107552</c:v>
                </c:pt>
                <c:pt idx="88">
                  <c:v>102432</c:v>
                </c:pt>
                <c:pt idx="89">
                  <c:v>94240</c:v>
                </c:pt>
                <c:pt idx="90">
                  <c:v>98336</c:v>
                </c:pt>
              </c:numCache>
            </c:numRef>
          </c:val>
        </c:ser>
        <c:marker val="1"/>
        <c:axId val="107587072"/>
        <c:axId val="107572608"/>
      </c:lineChart>
      <c:dateAx>
        <c:axId val="107556224"/>
        <c:scaling>
          <c:orientation val="minMax"/>
        </c:scaling>
        <c:axPos val="b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直近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ヶ月間 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日次平均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</a:t>
                </a:r>
              </a:p>
            </c:rich>
          </c:tx>
          <c:layout/>
        </c:title>
        <c:numFmt formatCode="yyyy/mm/dd" sourceLinked="1"/>
        <c:tickLblPos val="nextTo"/>
        <c:crossAx val="107570688"/>
        <c:crosses val="autoZero"/>
        <c:auto val="1"/>
        <c:lblOffset val="100"/>
        <c:majorUnit val="7"/>
      </c:dateAx>
      <c:valAx>
        <c:axId val="10757068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バルーンメモリ </a:t>
                </a:r>
                <a:r>
                  <a:rPr lang="en-US" altLang="ja-JP"/>
                  <a:t>/ </a:t>
                </a:r>
                <a:r>
                  <a:rPr lang="ja-JP" altLang="en-US"/>
                  <a:t>スワップメモリ </a:t>
                </a:r>
                <a:r>
                  <a:rPr lang="en-US" altLang="ja-JP"/>
                  <a:t>(MB)</a:t>
                </a:r>
              </a:p>
            </c:rich>
          </c:tx>
          <c:layout/>
        </c:title>
        <c:numFmt formatCode="#,##0;[Red]\-#,##0" sourceLinked="0"/>
        <c:tickLblPos val="nextTo"/>
        <c:crossAx val="107556224"/>
        <c:crosses val="autoZero"/>
        <c:crossBetween val="between"/>
      </c:valAx>
      <c:valAx>
        <c:axId val="107572608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Power ON VM Memory (MB)</a:t>
                </a:r>
              </a:p>
            </c:rich>
          </c:tx>
          <c:layout/>
        </c:title>
        <c:numFmt formatCode="#,##0;[Red]\-#,##0" sourceLinked="0"/>
        <c:tickLblPos val="nextTo"/>
        <c:crossAx val="107587072"/>
        <c:crosses val="max"/>
        <c:crossBetween val="between"/>
      </c:valAx>
      <c:catAx>
        <c:axId val="107587072"/>
        <c:scaling>
          <c:orientation val="minMax"/>
        </c:scaling>
        <c:delete val="1"/>
        <c:axPos val="b"/>
        <c:numFmt formatCode="General" sourceLinked="1"/>
        <c:tickLblPos val="none"/>
        <c:crossAx val="107572608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0.76878279543120354"/>
          <c:y val="0.62381832256149483"/>
          <c:w val="0.10173381899043733"/>
          <c:h val="0.10318852414420028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algn="ctr"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ja-JP" altLang="en-US" sz="1050" b="1" i="0" baseline="0"/>
              <a:t>キャパシティ分析グラフ </a:t>
            </a:r>
            <a:r>
              <a:rPr lang="en-US" altLang="ja-JP" sz="1050" b="1" i="0" baseline="0"/>
              <a:t>(</a:t>
            </a:r>
            <a:r>
              <a:rPr lang="ja-JP" altLang="en-US" sz="1050" b="1" i="0" baseline="0"/>
              <a:t>クラスタレベル</a:t>
            </a:r>
            <a:r>
              <a:rPr lang="en-US" altLang="ja-JP" sz="1050" b="1" i="0" baseline="0"/>
              <a:t>: </a:t>
            </a:r>
            <a:r>
              <a:rPr lang="en-US" altLang="en-US" sz="1050" b="1" i="0" baseline="0"/>
              <a:t>ESX</a:t>
            </a:r>
            <a:r>
              <a:rPr lang="ja-JP" altLang="en-US" sz="1050" b="1" i="0" baseline="0"/>
              <a:t>ホスト毎のメモリ使用率</a:t>
            </a:r>
            <a:r>
              <a:rPr lang="en-US" altLang="ja-JP" sz="1050" b="1" i="0" baseline="0"/>
              <a:t>)
&lt;</a:t>
            </a:r>
            <a:r>
              <a:rPr lang="en-US" altLang="en-US" sz="1050" b="1" i="0" baseline="0"/>
              <a:t>cluster&gt;</a:t>
            </a:r>
            <a:endParaRPr lang="en-US" altLang="ja-JP" sz="1050" b="0" i="0" baseline="0"/>
          </a:p>
        </c:rich>
      </c:tx>
      <c:layout>
        <c:manualLayout>
          <c:xMode val="edge"/>
          <c:yMode val="edge"/>
          <c:x val="0.26675524276900259"/>
          <c:y val="3.246157329375361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296732046770707"/>
          <c:y val="0.21911670690921389"/>
          <c:w val="0.65995499660739343"/>
          <c:h val="0.74120960114969103"/>
        </c:manualLayout>
      </c:layout>
      <c:barChart>
        <c:barDir val="bar"/>
        <c:grouping val="clustered"/>
        <c:ser>
          <c:idx val="0"/>
          <c:order val="0"/>
          <c:tx>
            <c:v>Last Week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'CLSTRDATA-&lt;cluster&gt;'!$B$152:$B$155</c:f>
              <c:strCache>
                <c:ptCount val="4"/>
                <c:pt idx="0">
                  <c:v>vs01.vmdemo.local</c:v>
                </c:pt>
                <c:pt idx="1">
                  <c:v>vs02.vmdemo.local</c:v>
                </c:pt>
                <c:pt idx="2">
                  <c:v>vs03.vmdemo.local</c:v>
                </c:pt>
                <c:pt idx="3">
                  <c:v>vs04.vmdemo.local</c:v>
                </c:pt>
              </c:strCache>
            </c:strRef>
          </c:cat>
          <c:val>
            <c:numRef>
              <c:f>'CLSTRDATA-&lt;cluster&gt;'!$U$152:$U$155</c:f>
              <c:numCache>
                <c:formatCode>0.00%</c:formatCode>
                <c:ptCount val="4"/>
                <c:pt idx="0">
                  <c:v>0.708526841035653</c:v>
                </c:pt>
                <c:pt idx="1">
                  <c:v>0.55385151702088198</c:v>
                </c:pt>
                <c:pt idx="2">
                  <c:v>0.60568441696497299</c:v>
                </c:pt>
                <c:pt idx="3">
                  <c:v>0.75777229408165103</c:v>
                </c:pt>
              </c:numCache>
            </c:numRef>
          </c:val>
        </c:ser>
        <c:ser>
          <c:idx val="1"/>
          <c:order val="1"/>
          <c:tx>
            <c:v>2 Weeks Ago</c:v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</c:spPr>
          <c:cat>
            <c:strRef>
              <c:f>'CLSTRDATA-&lt;cluster&gt;'!$B$155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'CLSTRDATA-&lt;cluster&gt;'!$T$152:$T$155</c:f>
              <c:numCache>
                <c:formatCode>0.00%</c:formatCode>
                <c:ptCount val="4"/>
                <c:pt idx="0">
                  <c:v>0.58723473223383604</c:v>
                </c:pt>
                <c:pt idx="1">
                  <c:v>0.54331939362034698</c:v>
                </c:pt>
                <c:pt idx="2">
                  <c:v>0.74580363603071698</c:v>
                </c:pt>
                <c:pt idx="3">
                  <c:v>0.83414640769273207</c:v>
                </c:pt>
              </c:numCache>
            </c:numRef>
          </c:val>
        </c:ser>
        <c:ser>
          <c:idx val="2"/>
          <c:order val="2"/>
          <c:tx>
            <c:v>3 Weeks Ago</c:v>
          </c:tx>
          <c:spPr>
            <a:solidFill>
              <a:schemeClr val="accent1">
                <a:lumMod val="60000"/>
                <a:lumOff val="4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'CLSTRDATA-&lt;cluster&gt;'!$S$152:$S$155</c:f>
              <c:numCache>
                <c:formatCode>0.00%</c:formatCode>
                <c:ptCount val="4"/>
                <c:pt idx="0">
                  <c:v>0.287710674050149</c:v>
                </c:pt>
                <c:pt idx="1">
                  <c:v>0.42496271160362803</c:v>
                </c:pt>
                <c:pt idx="2">
                  <c:v>0.6524504349750021</c:v>
                </c:pt>
                <c:pt idx="3">
                  <c:v>0.775574460050244</c:v>
                </c:pt>
              </c:numCache>
            </c:numRef>
          </c:val>
        </c:ser>
        <c:ser>
          <c:idx val="3"/>
          <c:order val="3"/>
          <c:tx>
            <c:v>4 Weeks Ago</c:v>
          </c:tx>
          <c:spPr>
            <a:solidFill>
              <a:schemeClr val="tx2">
                <a:lumMod val="20000"/>
                <a:lumOff val="80000"/>
              </a:schemeClr>
            </a:solidFill>
            <a:ln w="12700">
              <a:noFill/>
              <a:prstDash val="solid"/>
            </a:ln>
          </c:spPr>
          <c:cat>
            <c:strRef>
              <c:f>'CLSTRDATA-&lt;cluster&gt;'!$B$155</c:f>
              <c:strCache>
                <c:ptCount val="1"/>
                <c:pt idx="0">
                  <c:v>vs04.vmdemo.local</c:v>
                </c:pt>
              </c:strCache>
            </c:strRef>
          </c:cat>
          <c:val>
            <c:numRef>
              <c:f>'CLSTRDATA-&lt;cluster&gt;'!$R$152:$R$155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0.51689061257813396</c:v>
                </c:pt>
                <c:pt idx="3">
                  <c:v>0.57868158911970102</c:v>
                </c:pt>
              </c:numCache>
            </c:numRef>
          </c:val>
        </c:ser>
        <c:overlap val="-20"/>
        <c:axId val="107629952"/>
        <c:axId val="107644416"/>
      </c:barChart>
      <c:catAx>
        <c:axId val="107629952"/>
        <c:scaling>
          <c:orientation val="maxMin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 b="1">
                    <a:latin typeface="+mn-lt"/>
                    <a:ea typeface="+mn-ea"/>
                  </a:rPr>
                  <a:t>ESX </a:t>
                </a:r>
                <a:r>
                  <a:rPr lang="ja-JP" altLang="en-US" b="1">
                    <a:latin typeface="+mn-lt"/>
                    <a:ea typeface="+mn-ea"/>
                  </a:rPr>
                  <a:t>ホスト名</a:t>
                </a:r>
              </a:p>
            </c:rich>
          </c:tx>
          <c:layout/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107644416"/>
        <c:crosses val="autoZero"/>
        <c:auto val="1"/>
        <c:lblAlgn val="ctr"/>
        <c:lblOffset val="100"/>
      </c:catAx>
      <c:valAx>
        <c:axId val="107644416"/>
        <c:scaling>
          <c:orientation val="minMax"/>
        </c:scaling>
        <c:axPos val="t"/>
        <c:majorGridlines>
          <c:spPr>
            <a:ln>
              <a:solidFill>
                <a:schemeClr val="bg1">
                  <a:lumMod val="50000"/>
                </a:schemeClr>
              </a:solidFill>
              <a:prstDash val="dash"/>
            </a:ln>
          </c:spPr>
        </c:majorGridlines>
        <c:numFmt formatCode="#,##0;[Red]\-#,##0" sourceLinked="0"/>
        <c:tickLblPos val="nextTo"/>
        <c:spPr>
          <a:ln>
            <a:solidFill>
              <a:schemeClr val="bg1">
                <a:lumMod val="50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ja-JP"/>
          </a:p>
        </c:txPr>
        <c:crossAx val="107629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646922190838367"/>
          <c:y val="0.73165027294911456"/>
          <c:w val="0.14783178956337947"/>
          <c:h val="0.18665490343118879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ja-JP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ja-JP"/>
    </a:p>
  </c:txPr>
  <c:printSettings>
    <c:headerFooter alignWithMargins="0"/>
    <c:pageMargins b="0.98399999999999999" l="0.78700000000000003" r="0.78700000000000003" t="0.98399999999999999" header="0.51200000000000001" footer="0.512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(ESX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ホストレベル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CPU / 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メモリ使用率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</a:t>
            </a:r>
            <a:b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</a:b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esxhost</a:t>
            </a:r>
          </a:p>
        </c:rich>
      </c:tx>
      <c:layout>
        <c:manualLayout>
          <c:xMode val="edge"/>
          <c:yMode val="edge"/>
          <c:x val="0.31525458013434388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5.8253473579466752E-2"/>
          <c:y val="9.1303243551810492E-2"/>
          <c:w val="0.88238913614059522"/>
          <c:h val="0.74303783902012688"/>
        </c:manualLayout>
      </c:layout>
      <c:lineChart>
        <c:grouping val="standard"/>
        <c:ser>
          <c:idx val="1"/>
          <c:order val="0"/>
          <c:tx>
            <c:strRef>
              <c:f>'ESXDATA-&lt;esx&gt;'!$D$1</c:f>
              <c:strCache>
                <c:ptCount val="1"/>
                <c:pt idx="0">
                  <c:v> CPU Usage (%)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name>予測(CPU使用率)</c:name>
            <c:spPr>
              <a:ln>
                <a:solidFill>
                  <a:srgbClr val="00B050"/>
                </a:solidFill>
                <a:prstDash val="sysDash"/>
              </a:ln>
            </c:spPr>
            <c:trendlineType val="linear"/>
            <c:forward val="45"/>
          </c:trendline>
          <c:cat>
            <c:numRef>
              <c:f>'ESXDATA-&lt;esx&gt;'!$B$2:$B$93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'ESXDATA-&lt;esx&gt;'!$D$2:$D$93</c:f>
              <c:numCache>
                <c:formatCode>General</c:formatCode>
                <c:ptCount val="92"/>
                <c:pt idx="60">
                  <c:v>5.0085714544568702</c:v>
                </c:pt>
                <c:pt idx="61">
                  <c:v>11.350000143051099</c:v>
                </c:pt>
                <c:pt idx="62">
                  <c:v>5.8884615898132298</c:v>
                </c:pt>
                <c:pt idx="63">
                  <c:v>3.2892307684971702</c:v>
                </c:pt>
                <c:pt idx="64">
                  <c:v>4.2446153347308799</c:v>
                </c:pt>
                <c:pt idx="65">
                  <c:v>4.7938460936913101</c:v>
                </c:pt>
                <c:pt idx="66">
                  <c:v>7.7823076981764601</c:v>
                </c:pt>
                <c:pt idx="67">
                  <c:v>6.2261538872352</c:v>
                </c:pt>
                <c:pt idx="68">
                  <c:v>6.1661538710960997</c:v>
                </c:pt>
                <c:pt idx="69">
                  <c:v>6.0899999691889803</c:v>
                </c:pt>
                <c:pt idx="70">
                  <c:v>6.0192307325509899</c:v>
                </c:pt>
                <c:pt idx="71">
                  <c:v>6.8730768790611902</c:v>
                </c:pt>
                <c:pt idx="72">
                  <c:v>9.1353845963111304</c:v>
                </c:pt>
                <c:pt idx="73">
                  <c:v>8.3115384762103695</c:v>
                </c:pt>
                <c:pt idx="74">
                  <c:v>14.5738459733816</c:v>
                </c:pt>
                <c:pt idx="75">
                  <c:v>18.554615314190201</c:v>
                </c:pt>
                <c:pt idx="76">
                  <c:v>17.878461691049399</c:v>
                </c:pt>
                <c:pt idx="77">
                  <c:v>17.4376922020545</c:v>
                </c:pt>
                <c:pt idx="78">
                  <c:v>17.966153658353399</c:v>
                </c:pt>
                <c:pt idx="79">
                  <c:v>15.5646154697125</c:v>
                </c:pt>
                <c:pt idx="80">
                  <c:v>8.1385000944137609</c:v>
                </c:pt>
                <c:pt idx="81">
                  <c:v>8.6187499860922507</c:v>
                </c:pt>
                <c:pt idx="82">
                  <c:v>9.8140000104904193</c:v>
                </c:pt>
                <c:pt idx="85">
                  <c:v>7.0699999570846597</c:v>
                </c:pt>
                <c:pt idx="86">
                  <c:v>11.5772916947802</c:v>
                </c:pt>
                <c:pt idx="87">
                  <c:v>11.5752082665761</c:v>
                </c:pt>
                <c:pt idx="88">
                  <c:v>6.5822916775941804</c:v>
                </c:pt>
                <c:pt idx="89">
                  <c:v>5.6910416334867504</c:v>
                </c:pt>
                <c:pt idx="90">
                  <c:v>10.4806250482798</c:v>
                </c:pt>
                <c:pt idx="91">
                  <c:v>10.244000101089499</c:v>
                </c:pt>
              </c:numCache>
            </c:numRef>
          </c:val>
        </c:ser>
        <c:ser>
          <c:idx val="0"/>
          <c:order val="1"/>
          <c:tx>
            <c:strRef>
              <c:f>'ESXDATA-&lt;esx&gt;'!$F$1</c:f>
              <c:strCache>
                <c:ptCount val="1"/>
                <c:pt idx="0">
                  <c:v>Mem Usage (%)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6"/>
            <c:spPr>
              <a:solidFill>
                <a:srgbClr val="0070C0"/>
              </a:solidFill>
              <a:ln>
                <a:noFill/>
              </a:ln>
            </c:spPr>
          </c:marker>
          <c:trendline>
            <c:name>予測(メモリ使用率)</c:name>
            <c:spPr>
              <a:ln w="9525">
                <a:solidFill>
                  <a:srgbClr val="0070C0"/>
                </a:solidFill>
                <a:prstDash val="sysDash"/>
              </a:ln>
            </c:spPr>
            <c:trendlineType val="linear"/>
            <c:forward val="45"/>
          </c:trendline>
          <c:cat>
            <c:multiLvlStrRef>
              <c:f>#REF!</c:f>
            </c:multiLvlStrRef>
          </c:cat>
          <c:val>
            <c:numRef>
              <c:f>'ESXDATA-&lt;esx&gt;'!$F$2:$F$93</c:f>
              <c:numCache>
                <c:formatCode>General</c:formatCode>
                <c:ptCount val="92"/>
                <c:pt idx="60" formatCode="0.0_ ">
                  <c:v>65.418570927211206</c:v>
                </c:pt>
                <c:pt idx="61" formatCode="0.0_ ">
                  <c:v>70.571539071890001</c:v>
                </c:pt>
                <c:pt idx="62" formatCode="0.0_ ">
                  <c:v>66.589229877178497</c:v>
                </c:pt>
                <c:pt idx="63" formatCode="0.0_ ">
                  <c:v>68.216923640324495</c:v>
                </c:pt>
                <c:pt idx="64" formatCode="0.0_ ">
                  <c:v>74.546154315655002</c:v>
                </c:pt>
                <c:pt idx="65" formatCode="0.0_ ">
                  <c:v>79.161538931039701</c:v>
                </c:pt>
                <c:pt idx="66" formatCode="0.0_ ">
                  <c:v>81.972307645357603</c:v>
                </c:pt>
                <c:pt idx="67" formatCode="0.0_ ">
                  <c:v>85.010001549354001</c:v>
                </c:pt>
                <c:pt idx="68" formatCode="0.0_ ">
                  <c:v>85.014616159292402</c:v>
                </c:pt>
                <c:pt idx="69" formatCode="0.0_ ">
                  <c:v>85.296923123873199</c:v>
                </c:pt>
                <c:pt idx="70" formatCode="0.0_ ">
                  <c:v>85.426923311673704</c:v>
                </c:pt>
                <c:pt idx="71" formatCode="0.0_ ">
                  <c:v>86.153846153846203</c:v>
                </c:pt>
                <c:pt idx="72" formatCode="0.0_ ">
                  <c:v>85.943076500525805</c:v>
                </c:pt>
                <c:pt idx="73" formatCode="0.0_ ">
                  <c:v>84.836152883676405</c:v>
                </c:pt>
                <c:pt idx="74" formatCode="0.0_ ">
                  <c:v>76.453845684344998</c:v>
                </c:pt>
                <c:pt idx="75" formatCode="0.0_ ">
                  <c:v>75.668461139385499</c:v>
                </c:pt>
                <c:pt idx="76" formatCode="0.0_ ">
                  <c:v>79.434615501990706</c:v>
                </c:pt>
                <c:pt idx="77" formatCode="0.0_ ">
                  <c:v>71.133077181302596</c:v>
                </c:pt>
                <c:pt idx="78" formatCode="0.0_ ">
                  <c:v>72.046154315655002</c:v>
                </c:pt>
                <c:pt idx="79" formatCode="0.0_ ">
                  <c:v>78.173846318171599</c:v>
                </c:pt>
                <c:pt idx="80" formatCode="0.0_ ">
                  <c:v>83.677499771118207</c:v>
                </c:pt>
                <c:pt idx="81" formatCode="0.0_ ">
                  <c:v>77.210000038147001</c:v>
                </c:pt>
                <c:pt idx="82" formatCode="0.0_ ">
                  <c:v>75.997499847412101</c:v>
                </c:pt>
                <c:pt idx="85" formatCode="0.0_ ">
                  <c:v>64.551600036621096</c:v>
                </c:pt>
                <c:pt idx="86" formatCode="0.0_ ">
                  <c:v>69.8902083237966</c:v>
                </c:pt>
                <c:pt idx="87" formatCode="0.0_ ">
                  <c:v>71.355416774749798</c:v>
                </c:pt>
                <c:pt idx="88" formatCode="0.0_ ">
                  <c:v>70.782083511352496</c:v>
                </c:pt>
                <c:pt idx="89" formatCode="0.0_ ">
                  <c:v>69.880833546320602</c:v>
                </c:pt>
                <c:pt idx="90" formatCode="0.0_ ">
                  <c:v>64.649791797002194</c:v>
                </c:pt>
                <c:pt idx="91" formatCode="0.0_ ">
                  <c:v>61.277999877929702</c:v>
                </c:pt>
              </c:numCache>
            </c:numRef>
          </c:val>
        </c:ser>
        <c:ser>
          <c:idx val="2"/>
          <c:order val="2"/>
          <c:tx>
            <c:strRef>
              <c:f>'ESXDATA-&lt;esx&gt;'!$M$1</c:f>
              <c:strCache>
                <c:ptCount val="1"/>
                <c:pt idx="0">
                  <c:v>Usage Target (%)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name>Usage Target (%)</c:name>
            <c:spPr>
              <a:ln w="22225">
                <a:solidFill>
                  <a:schemeClr val="accent6"/>
                </a:solidFill>
                <a:prstDash val="sysDash"/>
              </a:ln>
            </c:spPr>
            <c:trendlineType val="linear"/>
            <c:forward val="45"/>
          </c:trendline>
          <c:cat>
            <c:multiLvlStrRef>
              <c:f>#REF!</c:f>
            </c:multiLvlStrRef>
          </c:cat>
          <c:val>
            <c:numRef>
              <c:f>'ESXDATA-&lt;esx&gt;'!$M$2:$M$93</c:f>
              <c:numCache>
                <c:formatCode>General</c:formatCode>
                <c:ptCount val="92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</c:numCache>
            </c:numRef>
          </c:val>
        </c:ser>
        <c:ser>
          <c:idx val="3"/>
          <c:order val="3"/>
          <c:tx>
            <c:strRef>
              <c:f>'ESXDATA-&lt;esx&gt;'!$N$1</c:f>
              <c:strCache>
                <c:ptCount val="1"/>
                <c:pt idx="0">
                  <c:v>Usage Limit (%)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name>Usage Limit (%)</c:name>
            <c:spPr>
              <a:ln w="22225">
                <a:solidFill>
                  <a:schemeClr val="accent2"/>
                </a:solidFill>
                <a:prstDash val="sysDash"/>
              </a:ln>
            </c:spPr>
            <c:trendlineType val="linear"/>
            <c:forward val="45"/>
          </c:trendline>
          <c:cat>
            <c:multiLvlStrRef>
              <c:f>#REF!</c:f>
            </c:multiLvlStrRef>
          </c:cat>
          <c:val>
            <c:numRef>
              <c:f>'ESXDATA-&lt;esx&gt;'!$N$2:$N$93</c:f>
              <c:numCache>
                <c:formatCode>General</c:formatCode>
                <c:ptCount val="9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</c:numCache>
            </c:numRef>
          </c:val>
        </c:ser>
        <c:marker val="1"/>
        <c:axId val="107946752"/>
        <c:axId val="107948672"/>
      </c:lineChart>
      <c:catAx>
        <c:axId val="107946752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直近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3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ヶ月間 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日次平均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- (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予測区間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: 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前方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1.5</a:t>
                </a:r>
                <a:r>
                  <a:rPr lang="ja-JP" altLang="en-US">
                    <a:latin typeface="Arial" pitchFamily="34" charset="0"/>
                    <a:cs typeface="Arial" pitchFamily="34" charset="0"/>
                  </a:rPr>
                  <a:t>ヶ月</a:t>
                </a:r>
                <a:r>
                  <a:rPr lang="en-US" altLang="ja-JP">
                    <a:latin typeface="Arial" pitchFamily="34" charset="0"/>
                    <a:cs typeface="Arial" pitchFamily="34" charset="0"/>
                  </a:rPr>
                  <a:t>)</a:t>
                </a:r>
              </a:p>
            </c:rich>
          </c:tx>
          <c:layout/>
        </c:title>
        <c:numFmt formatCode="yyyy/mm/dd" sourceLinked="1"/>
        <c:tickLblPos val="nextTo"/>
        <c:crossAx val="107948672"/>
        <c:crosses val="autoZero"/>
        <c:auto val="1"/>
        <c:lblAlgn val="ctr"/>
        <c:lblOffset val="100"/>
        <c:tickLblSkip val="7"/>
      </c:catAx>
      <c:valAx>
        <c:axId val="107948672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/>
                  <a:t>CPU / </a:t>
                </a:r>
                <a:r>
                  <a:rPr lang="ja-JP" altLang="en-US"/>
                  <a:t>メモリ 使用率 </a:t>
                </a:r>
                <a:r>
                  <a:rPr lang="en-US" altLang="ja-JP"/>
                  <a:t>(%)</a:t>
                </a:r>
                <a:endParaRPr lang="ja-JP" altLang="en-US"/>
              </a:p>
            </c:rich>
          </c:tx>
          <c:layout/>
        </c:title>
        <c:numFmt formatCode="General" sourceLinked="1"/>
        <c:tickLblPos val="nextTo"/>
        <c:crossAx val="107946752"/>
        <c:crosses val="autoZero"/>
        <c:crossBetween val="between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3505420518087794"/>
          <c:y val="0.46389753405192724"/>
          <c:w val="0.15243521832498241"/>
          <c:h val="0.19716649258519112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(ESX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ホストレベル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 メモリ関連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</a:t>
            </a:r>
            <a:b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</a:b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esxhost</a:t>
            </a:r>
          </a:p>
        </c:rich>
      </c:tx>
      <c:layout>
        <c:manualLayout>
          <c:xMode val="edge"/>
          <c:yMode val="edge"/>
          <c:x val="0.31525458013434404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7.0901662983826913E-2"/>
          <c:y val="9.1303304720347381E-2"/>
          <c:w val="0.71058412955297556"/>
          <c:h val="0.7430378390201271"/>
        </c:manualLayout>
      </c:layout>
      <c:barChart>
        <c:barDir val="col"/>
        <c:grouping val="stacked"/>
        <c:ser>
          <c:idx val="0"/>
          <c:order val="1"/>
          <c:tx>
            <c:strRef>
              <c:f>'ESXDATA-&lt;esx&gt;'!$E$101</c:f>
              <c:strCache>
                <c:ptCount val="1"/>
                <c:pt idx="0">
                  <c:v>Mem Consumed Min (MB)</c:v>
                </c:pt>
              </c:strCache>
            </c:strRef>
          </c:tx>
          <c:spPr>
            <a:noFill/>
            <a:ln w="28575">
              <a:noFill/>
            </a:ln>
          </c:spPr>
          <c:val>
            <c:numRef>
              <c:f>'ESXDATA-&lt;esx&gt;'!$E$102:$E$193</c:f>
              <c:numCache>
                <c:formatCode>#,##0;[Red]\-#,##0</c:formatCode>
                <c:ptCount val="92"/>
                <c:pt idx="60">
                  <c:v>7934.6474609375</c:v>
                </c:pt>
                <c:pt idx="61">
                  <c:v>11047.021484375</c:v>
                </c:pt>
                <c:pt idx="62">
                  <c:v>9702.1318359375</c:v>
                </c:pt>
                <c:pt idx="63">
                  <c:v>10810.888671875</c:v>
                </c:pt>
                <c:pt idx="64">
                  <c:v>11081.71875</c:v>
                </c:pt>
                <c:pt idx="65">
                  <c:v>12674.130859375</c:v>
                </c:pt>
                <c:pt idx="66">
                  <c:v>12603.26171875</c:v>
                </c:pt>
                <c:pt idx="67">
                  <c:v>13660.29296875</c:v>
                </c:pt>
                <c:pt idx="68">
                  <c:v>13760.95703125</c:v>
                </c:pt>
                <c:pt idx="69">
                  <c:v>13796.123046875</c:v>
                </c:pt>
                <c:pt idx="70">
                  <c:v>13945.166015625</c:v>
                </c:pt>
                <c:pt idx="71">
                  <c:v>14034.84375</c:v>
                </c:pt>
                <c:pt idx="72">
                  <c:v>12521.845703125</c:v>
                </c:pt>
                <c:pt idx="73">
                  <c:v>12964.31640625</c:v>
                </c:pt>
                <c:pt idx="74">
                  <c:v>11677.919921875</c:v>
                </c:pt>
                <c:pt idx="75">
                  <c:v>11049.736328125</c:v>
                </c:pt>
                <c:pt idx="76">
                  <c:v>10723.876953125</c:v>
                </c:pt>
                <c:pt idx="77">
                  <c:v>11079.794921875</c:v>
                </c:pt>
                <c:pt idx="78">
                  <c:v>10336.396484375</c:v>
                </c:pt>
                <c:pt idx="79">
                  <c:v>12066.162109375</c:v>
                </c:pt>
                <c:pt idx="80">
                  <c:v>12066.865234375</c:v>
                </c:pt>
                <c:pt idx="81">
                  <c:v>11168.1640625</c:v>
                </c:pt>
                <c:pt idx="82">
                  <c:v>10770.3125</c:v>
                </c:pt>
                <c:pt idx="85">
                  <c:v>9715.4345703125</c:v>
                </c:pt>
                <c:pt idx="86">
                  <c:v>9937.91015625</c:v>
                </c:pt>
                <c:pt idx="87">
                  <c:v>10919.47265625</c:v>
                </c:pt>
                <c:pt idx="88">
                  <c:v>9856.640625</c:v>
                </c:pt>
                <c:pt idx="89">
                  <c:v>9977.900390625</c:v>
                </c:pt>
                <c:pt idx="90">
                  <c:v>9077.1025390625</c:v>
                </c:pt>
                <c:pt idx="91">
                  <c:v>10020.9765625</c:v>
                </c:pt>
              </c:numCache>
            </c:numRef>
          </c:val>
        </c:ser>
        <c:ser>
          <c:idx val="2"/>
          <c:order val="2"/>
          <c:tx>
            <c:strRef>
              <c:f>'ESXDATA-&lt;esx&gt;'!$M$101</c:f>
              <c:strCache>
                <c:ptCount val="1"/>
                <c:pt idx="0">
                  <c:v>Mem Consumed Max(MB)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tint val="66000"/>
                    <a:satMod val="16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1"/>
              <a:tileRect/>
            </a:gradFill>
            <a:ln w="28575">
              <a:noFill/>
            </a:ln>
          </c:spPr>
          <c:val>
            <c:numRef>
              <c:f>'ESXDATA-&lt;esx&gt;'!$M$102:$M$193</c:f>
              <c:numCache>
                <c:formatCode>#,##0;[Red]\-#,##0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4041.6708984375</c:v>
                </c:pt>
                <c:pt idx="61">
                  <c:v>1544.82421875</c:v>
                </c:pt>
                <c:pt idx="62">
                  <c:v>2298.6884765625</c:v>
                </c:pt>
                <c:pt idx="63">
                  <c:v>812.32421875</c:v>
                </c:pt>
                <c:pt idx="64">
                  <c:v>1992.705078125</c:v>
                </c:pt>
                <c:pt idx="65">
                  <c:v>616.005859375</c:v>
                </c:pt>
                <c:pt idx="66">
                  <c:v>1751.26953125</c:v>
                </c:pt>
                <c:pt idx="67">
                  <c:v>607.314453125</c:v>
                </c:pt>
                <c:pt idx="68">
                  <c:v>254.404296875</c:v>
                </c:pt>
                <c:pt idx="69">
                  <c:v>234.111328125</c:v>
                </c:pt>
                <c:pt idx="70">
                  <c:v>79.23828125</c:v>
                </c:pt>
                <c:pt idx="71">
                  <c:v>191.26953125</c:v>
                </c:pt>
                <c:pt idx="72">
                  <c:v>1790.8203125</c:v>
                </c:pt>
                <c:pt idx="73">
                  <c:v>1336.005859375</c:v>
                </c:pt>
                <c:pt idx="74">
                  <c:v>1986.259765625</c:v>
                </c:pt>
                <c:pt idx="75">
                  <c:v>2977.880859375</c:v>
                </c:pt>
                <c:pt idx="76">
                  <c:v>3175.01953125</c:v>
                </c:pt>
                <c:pt idx="77">
                  <c:v>1399.39453125</c:v>
                </c:pt>
                <c:pt idx="78">
                  <c:v>2608.095703125</c:v>
                </c:pt>
                <c:pt idx="79">
                  <c:v>1424.4921875</c:v>
                </c:pt>
                <c:pt idx="80">
                  <c:v>2475.126953125</c:v>
                </c:pt>
                <c:pt idx="81">
                  <c:v>3269.31640625</c:v>
                </c:pt>
                <c:pt idx="82">
                  <c:v>2801.9140625</c:v>
                </c:pt>
                <c:pt idx="83">
                  <c:v>0</c:v>
                </c:pt>
                <c:pt idx="84">
                  <c:v>0</c:v>
                </c:pt>
                <c:pt idx="85">
                  <c:v>2163.9013671875</c:v>
                </c:pt>
                <c:pt idx="86">
                  <c:v>4095.09765625</c:v>
                </c:pt>
                <c:pt idx="87">
                  <c:v>2008.759765625</c:v>
                </c:pt>
                <c:pt idx="88">
                  <c:v>2799.04296875</c:v>
                </c:pt>
                <c:pt idx="89">
                  <c:v>2826.728515625</c:v>
                </c:pt>
                <c:pt idx="90">
                  <c:v>4133.6591796875</c:v>
                </c:pt>
              </c:numCache>
            </c:numRef>
          </c:val>
        </c:ser>
        <c:gapWidth val="60"/>
        <c:overlap val="100"/>
        <c:axId val="108106496"/>
        <c:axId val="108109184"/>
      </c:barChart>
      <c:lineChart>
        <c:grouping val="standard"/>
        <c:ser>
          <c:idx val="1"/>
          <c:order val="0"/>
          <c:tx>
            <c:strRef>
              <c:f>'ESXDATA-&lt;esx&gt;'!$C$101</c:f>
              <c:strCache>
                <c:ptCount val="1"/>
                <c:pt idx="0">
                  <c:v>Mem Consumed Avg (MB)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F0"/>
              </a:solidFill>
              <a:ln>
                <a:solidFill>
                  <a:srgbClr val="0070C0"/>
                </a:solidFill>
              </a:ln>
            </c:spPr>
          </c:marker>
          <c:cat>
            <c:numRef>
              <c:f>'ESXDATA-&lt;esx&gt;'!$B$102:$B$193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'ESXDATA-&lt;esx&gt;'!$C$102:$C$193</c:f>
              <c:numCache>
                <c:formatCode>#,##0;[Red]\-#,##0</c:formatCode>
                <c:ptCount val="92"/>
                <c:pt idx="60">
                  <c:v>10714.984375</c:v>
                </c:pt>
                <c:pt idx="61">
                  <c:v>11558.662109375</c:v>
                </c:pt>
                <c:pt idx="62">
                  <c:v>10906.5849609375</c:v>
                </c:pt>
                <c:pt idx="63">
                  <c:v>11172.849609375</c:v>
                </c:pt>
                <c:pt idx="64">
                  <c:v>12208.9052734375</c:v>
                </c:pt>
                <c:pt idx="65">
                  <c:v>12964.95703125</c:v>
                </c:pt>
                <c:pt idx="66">
                  <c:v>13425.5537109375</c:v>
                </c:pt>
                <c:pt idx="67">
                  <c:v>13922.4296875</c:v>
                </c:pt>
                <c:pt idx="68">
                  <c:v>13923.4091796875</c:v>
                </c:pt>
                <c:pt idx="69">
                  <c:v>13969.6591796875</c:v>
                </c:pt>
                <c:pt idx="70">
                  <c:v>13990.8486328125</c:v>
                </c:pt>
                <c:pt idx="71">
                  <c:v>14109.6005859375</c:v>
                </c:pt>
                <c:pt idx="72">
                  <c:v>14075.55078125</c:v>
                </c:pt>
                <c:pt idx="73">
                  <c:v>13894.318359375</c:v>
                </c:pt>
                <c:pt idx="74">
                  <c:v>12521.78125</c:v>
                </c:pt>
                <c:pt idx="75">
                  <c:v>12393.322265625</c:v>
                </c:pt>
                <c:pt idx="76">
                  <c:v>13009.6455078125</c:v>
                </c:pt>
                <c:pt idx="77">
                  <c:v>11650.3544921875</c:v>
                </c:pt>
                <c:pt idx="78">
                  <c:v>11799.4599609375</c:v>
                </c:pt>
                <c:pt idx="79">
                  <c:v>12803.0947265625</c:v>
                </c:pt>
                <c:pt idx="80">
                  <c:v>13704.326171875</c:v>
                </c:pt>
                <c:pt idx="81">
                  <c:v>12645.0439453125</c:v>
                </c:pt>
                <c:pt idx="82">
                  <c:v>12446.515625</c:v>
                </c:pt>
                <c:pt idx="85">
                  <c:v>10571.9736328125</c:v>
                </c:pt>
                <c:pt idx="86">
                  <c:v>11446.21484375</c:v>
                </c:pt>
                <c:pt idx="87">
                  <c:v>11686.2412109375</c:v>
                </c:pt>
                <c:pt idx="88">
                  <c:v>11592.146484375</c:v>
                </c:pt>
                <c:pt idx="89">
                  <c:v>11444.599609375</c:v>
                </c:pt>
                <c:pt idx="90">
                  <c:v>10588.18359375</c:v>
                </c:pt>
                <c:pt idx="91">
                  <c:v>10036.2080078125</c:v>
                </c:pt>
              </c:numCache>
            </c:numRef>
          </c:val>
        </c:ser>
        <c:ser>
          <c:idx val="3"/>
          <c:order val="3"/>
          <c:tx>
            <c:strRef>
              <c:f>'ESXDATA-&lt;esx&gt;'!$J$101</c:f>
              <c:strCache>
                <c:ptCount val="1"/>
                <c:pt idx="0">
                  <c:v>Granted Memory (MB)</c:v>
                </c:pt>
              </c:strCache>
            </c:strRef>
          </c:tx>
          <c:spPr>
            <a:ln w="22225">
              <a:noFill/>
            </a:ln>
          </c:spPr>
          <c:marker>
            <c:symbol val="dash"/>
            <c:size val="7"/>
            <c:spPr>
              <a:solidFill>
                <a:srgbClr val="00B050"/>
              </a:solidFill>
              <a:ln w="19050">
                <a:solidFill>
                  <a:srgbClr val="00B050"/>
                </a:solidFill>
              </a:ln>
            </c:spPr>
          </c:marker>
          <c:cat>
            <c:multiLvlStrRef>
              <c:f>#REF!</c:f>
            </c:multiLvlStrRef>
          </c:cat>
          <c:val>
            <c:numRef>
              <c:f>'ESXDATA-&lt;esx&gt;'!$J$102:$J$193</c:f>
              <c:numCache>
                <c:formatCode>#,##0;[Red]\-#,##0</c:formatCode>
                <c:ptCount val="92"/>
                <c:pt idx="60">
                  <c:v>12566.455078125</c:v>
                </c:pt>
                <c:pt idx="61">
                  <c:v>12063.408203125</c:v>
                </c:pt>
                <c:pt idx="62">
                  <c:v>14138.955078125</c:v>
                </c:pt>
                <c:pt idx="63">
                  <c:v>11796.23046875</c:v>
                </c:pt>
                <c:pt idx="64">
                  <c:v>14966.1328125</c:v>
                </c:pt>
                <c:pt idx="65">
                  <c:v>15163.369140625</c:v>
                </c:pt>
                <c:pt idx="66">
                  <c:v>15312.255859375</c:v>
                </c:pt>
                <c:pt idx="67">
                  <c:v>15359.70703125</c:v>
                </c:pt>
                <c:pt idx="68">
                  <c:v>15249.658203125</c:v>
                </c:pt>
                <c:pt idx="69">
                  <c:v>15277.041015625</c:v>
                </c:pt>
                <c:pt idx="70">
                  <c:v>15304.326171875</c:v>
                </c:pt>
                <c:pt idx="71">
                  <c:v>16977.001953125</c:v>
                </c:pt>
                <c:pt idx="72">
                  <c:v>17026.09375</c:v>
                </c:pt>
                <c:pt idx="73">
                  <c:v>16725.859375</c:v>
                </c:pt>
                <c:pt idx="74">
                  <c:v>23059.189453125</c:v>
                </c:pt>
                <c:pt idx="75">
                  <c:v>22926.748046875</c:v>
                </c:pt>
                <c:pt idx="76">
                  <c:v>23051.71875</c:v>
                </c:pt>
                <c:pt idx="77">
                  <c:v>20810.322265625</c:v>
                </c:pt>
                <c:pt idx="78">
                  <c:v>22442.001953125</c:v>
                </c:pt>
                <c:pt idx="79">
                  <c:v>22401.62109375</c:v>
                </c:pt>
                <c:pt idx="80">
                  <c:v>19746.26953125</c:v>
                </c:pt>
                <c:pt idx="81">
                  <c:v>20087.16796875</c:v>
                </c:pt>
                <c:pt idx="82">
                  <c:v>30408.80859375</c:v>
                </c:pt>
                <c:pt idx="85">
                  <c:v>15509.74609375</c:v>
                </c:pt>
                <c:pt idx="86">
                  <c:v>23337.5</c:v>
                </c:pt>
                <c:pt idx="87">
                  <c:v>20412.119140625</c:v>
                </c:pt>
                <c:pt idx="88">
                  <c:v>25051.03515625</c:v>
                </c:pt>
                <c:pt idx="89">
                  <c:v>26183.525390625</c:v>
                </c:pt>
                <c:pt idx="90">
                  <c:v>19307.705078125</c:v>
                </c:pt>
                <c:pt idx="91">
                  <c:v>15151.669921875</c:v>
                </c:pt>
              </c:numCache>
            </c:numRef>
          </c:val>
        </c:ser>
        <c:ser>
          <c:idx val="4"/>
          <c:order val="4"/>
          <c:tx>
            <c:strRef>
              <c:f>'ESXDATA-&lt;esx&gt;'!$G$101</c:f>
              <c:strCache>
                <c:ptCount val="1"/>
                <c:pt idx="0">
                  <c:v>Mem Shared Common (MB)</c:v>
                </c:pt>
              </c:strCache>
            </c:strRef>
          </c:tx>
          <c:spPr>
            <a:ln w="22225"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square"/>
            <c:size val="4"/>
            <c:spPr>
              <a:solidFill>
                <a:schemeClr val="accent4"/>
              </a:solidFill>
              <a:ln>
                <a:solidFill>
                  <a:srgbClr val="8064A2">
                    <a:lumMod val="40000"/>
                    <a:lumOff val="60000"/>
                  </a:srgbClr>
                </a:solidFill>
              </a:ln>
            </c:spPr>
          </c:marker>
          <c:cat>
            <c:multiLvlStrRef>
              <c:f>#REF!</c:f>
            </c:multiLvlStrRef>
          </c:cat>
          <c:val>
            <c:numRef>
              <c:f>'ESXDATA-&lt;esx&gt;'!$G$102:$G$193</c:f>
              <c:numCache>
                <c:formatCode>#,##0;[Red]\-#,##0</c:formatCode>
                <c:ptCount val="92"/>
                <c:pt idx="60">
                  <c:v>1634.40466308594</c:v>
                </c:pt>
                <c:pt idx="61">
                  <c:v>1094.48205566406</c:v>
                </c:pt>
                <c:pt idx="62">
                  <c:v>2184.06640625</c:v>
                </c:pt>
                <c:pt idx="63">
                  <c:v>1377.62805175781</c:v>
                </c:pt>
                <c:pt idx="64">
                  <c:v>2315.60961914063</c:v>
                </c:pt>
                <c:pt idx="65">
                  <c:v>2749.31494140625</c:v>
                </c:pt>
                <c:pt idx="66">
                  <c:v>2497.24584960938</c:v>
                </c:pt>
                <c:pt idx="67">
                  <c:v>3111.5703125</c:v>
                </c:pt>
                <c:pt idx="68">
                  <c:v>3197.07495117188</c:v>
                </c:pt>
                <c:pt idx="69">
                  <c:v>3171.90698242188</c:v>
                </c:pt>
                <c:pt idx="70">
                  <c:v>3192.42602539063</c:v>
                </c:pt>
                <c:pt idx="71">
                  <c:v>3479.47998046875</c:v>
                </c:pt>
                <c:pt idx="72">
                  <c:v>4271.65234375</c:v>
                </c:pt>
                <c:pt idx="73">
                  <c:v>4012.53564453125</c:v>
                </c:pt>
                <c:pt idx="74">
                  <c:v>7827.658203125</c:v>
                </c:pt>
                <c:pt idx="75">
                  <c:v>11212.275390625</c:v>
                </c:pt>
                <c:pt idx="76">
                  <c:v>11369.1552734375</c:v>
                </c:pt>
                <c:pt idx="77">
                  <c:v>11092.3857421875</c:v>
                </c:pt>
                <c:pt idx="78">
                  <c:v>11482.130859375</c:v>
                </c:pt>
                <c:pt idx="79">
                  <c:v>8706.2470703125</c:v>
                </c:pt>
                <c:pt idx="80">
                  <c:v>5872.09765625</c:v>
                </c:pt>
                <c:pt idx="81">
                  <c:v>7087.0185546875</c:v>
                </c:pt>
                <c:pt idx="82">
                  <c:v>11194.435546875</c:v>
                </c:pt>
                <c:pt idx="85">
                  <c:v>5890.06396484375</c:v>
                </c:pt>
                <c:pt idx="86">
                  <c:v>7553.3232421875</c:v>
                </c:pt>
                <c:pt idx="87">
                  <c:v>8111.70703125</c:v>
                </c:pt>
                <c:pt idx="88">
                  <c:v>9297.7509765625</c:v>
                </c:pt>
                <c:pt idx="89">
                  <c:v>9445.1982421875</c:v>
                </c:pt>
                <c:pt idx="90">
                  <c:v>7424.28564453125</c:v>
                </c:pt>
                <c:pt idx="91">
                  <c:v>7098.05859375</c:v>
                </c:pt>
              </c:numCache>
            </c:numRef>
          </c:val>
        </c:ser>
        <c:marker val="1"/>
        <c:axId val="108106496"/>
        <c:axId val="108109184"/>
      </c:lineChart>
      <c:lineChart>
        <c:grouping val="standard"/>
        <c:ser>
          <c:idx val="5"/>
          <c:order val="5"/>
          <c:tx>
            <c:strRef>
              <c:f>'ESXDATA-&lt;esx&gt;'!$H$101</c:f>
              <c:strCache>
                <c:ptCount val="1"/>
                <c:pt idx="0">
                  <c:v>Balloon Memory Max (MB)</c:v>
                </c:pt>
              </c:strCache>
            </c:strRef>
          </c:tx>
          <c:spPr>
            <a:ln w="22225">
              <a:solidFill>
                <a:schemeClr val="accent6">
                  <a:lumMod val="20000"/>
                  <a:lumOff val="80000"/>
                </a:schemeClr>
              </a:solidFill>
            </a:ln>
          </c:spPr>
          <c:marker>
            <c:symbol val="triangle"/>
            <c:size val="7"/>
            <c:spPr>
              <a:solidFill>
                <a:srgbClr val="FFC000"/>
              </a:solidFill>
              <a:ln>
                <a:solidFill>
                  <a:srgbClr val="F79646">
                    <a:lumMod val="20000"/>
                    <a:lumOff val="80000"/>
                  </a:srgbClr>
                </a:solidFill>
              </a:ln>
            </c:spPr>
          </c:marker>
          <c:cat>
            <c:multiLvlStrRef>
              <c:f>#REF!</c:f>
            </c:multiLvlStrRef>
          </c:cat>
          <c:val>
            <c:numRef>
              <c:f>'ESXDATA-&lt;esx&gt;'!$H$102:$H$193</c:f>
              <c:numCache>
                <c:formatCode>#,##0;[Red]\-#,##0</c:formatCode>
                <c:ptCount val="92"/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377.6865234375</c:v>
                </c:pt>
                <c:pt idx="65">
                  <c:v>8.49609375E-2</c:v>
                </c:pt>
                <c:pt idx="66">
                  <c:v>91.5029296875</c:v>
                </c:pt>
                <c:pt idx="67">
                  <c:v>34.5732421875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28.8720703125</c:v>
                </c:pt>
                <c:pt idx="72">
                  <c:v>673.2646484375</c:v>
                </c:pt>
                <c:pt idx="73">
                  <c:v>662.7958984375</c:v>
                </c:pt>
                <c:pt idx="74">
                  <c:v>3186.3271484375</c:v>
                </c:pt>
                <c:pt idx="75">
                  <c:v>1476.3515625</c:v>
                </c:pt>
                <c:pt idx="76">
                  <c:v>862.634765625</c:v>
                </c:pt>
                <c:pt idx="77">
                  <c:v>819.28125</c:v>
                </c:pt>
                <c:pt idx="78">
                  <c:v>1590.91796875</c:v>
                </c:pt>
                <c:pt idx="79">
                  <c:v>1089.494140625</c:v>
                </c:pt>
                <c:pt idx="80">
                  <c:v>1069.96484375</c:v>
                </c:pt>
                <c:pt idx="81">
                  <c:v>1913.0478515625</c:v>
                </c:pt>
                <c:pt idx="82">
                  <c:v>3101.091796875</c:v>
                </c:pt>
                <c:pt idx="85">
                  <c:v>0</c:v>
                </c:pt>
                <c:pt idx="86">
                  <c:v>839.8837890625</c:v>
                </c:pt>
                <c:pt idx="87">
                  <c:v>0</c:v>
                </c:pt>
                <c:pt idx="88">
                  <c:v>0</c:v>
                </c:pt>
                <c:pt idx="89">
                  <c:v>492.06640625</c:v>
                </c:pt>
                <c:pt idx="90">
                  <c:v>1822.4765625</c:v>
                </c:pt>
                <c:pt idx="91">
                  <c:v>1822.4765625</c:v>
                </c:pt>
              </c:numCache>
            </c:numRef>
          </c:val>
        </c:ser>
        <c:ser>
          <c:idx val="6"/>
          <c:order val="6"/>
          <c:tx>
            <c:strRef>
              <c:f>'ESXDATA-&lt;esx&gt;'!$I$101</c:f>
              <c:strCache>
                <c:ptCount val="1"/>
                <c:pt idx="0">
                  <c:v>Swap Memory Max (MB)</c:v>
                </c:pt>
              </c:strCache>
            </c:strRef>
          </c:tx>
          <c:spPr>
            <a:ln w="22225"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x"/>
            <c:size val="5"/>
            <c:spPr>
              <a:ln w="22225">
                <a:solidFill>
                  <a:schemeClr val="accent2"/>
                </a:solidFill>
              </a:ln>
            </c:spPr>
          </c:marker>
          <c:cat>
            <c:multiLvlStrRef>
              <c:f>#REF!</c:f>
            </c:multiLvlStrRef>
          </c:cat>
          <c:val>
            <c:numRef>
              <c:f>'ESXDATA-&lt;esx&gt;'!$I$102:$I$193</c:f>
              <c:numCache>
                <c:formatCode>#,##0;[Red]\-#,##0</c:formatCode>
                <c:ptCount val="92"/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527.7314453125</c:v>
                </c:pt>
                <c:pt idx="65">
                  <c:v>280.689453125</c:v>
                </c:pt>
                <c:pt idx="66">
                  <c:v>278.6064453125</c:v>
                </c:pt>
                <c:pt idx="67">
                  <c:v>178.0537109375</c:v>
                </c:pt>
                <c:pt idx="68">
                  <c:v>164.6259765625</c:v>
                </c:pt>
                <c:pt idx="69">
                  <c:v>161.56640625</c:v>
                </c:pt>
                <c:pt idx="70">
                  <c:v>161.5146484375</c:v>
                </c:pt>
                <c:pt idx="71">
                  <c:v>676.115234375</c:v>
                </c:pt>
                <c:pt idx="72">
                  <c:v>875.0283203125</c:v>
                </c:pt>
                <c:pt idx="73">
                  <c:v>846.236328125</c:v>
                </c:pt>
                <c:pt idx="74">
                  <c:v>2104.099609375</c:v>
                </c:pt>
                <c:pt idx="75">
                  <c:v>1968.134765625</c:v>
                </c:pt>
                <c:pt idx="76">
                  <c:v>938.716796875</c:v>
                </c:pt>
                <c:pt idx="77">
                  <c:v>930.3408203125</c:v>
                </c:pt>
                <c:pt idx="78">
                  <c:v>1421.8125</c:v>
                </c:pt>
                <c:pt idx="79">
                  <c:v>1591.935546875</c:v>
                </c:pt>
                <c:pt idx="80">
                  <c:v>1254.7041015625</c:v>
                </c:pt>
                <c:pt idx="81">
                  <c:v>3334.5517578125</c:v>
                </c:pt>
                <c:pt idx="82">
                  <c:v>3390.427734375</c:v>
                </c:pt>
                <c:pt idx="85">
                  <c:v>1.08984375</c:v>
                </c:pt>
                <c:pt idx="86">
                  <c:v>1023.9375</c:v>
                </c:pt>
                <c:pt idx="87">
                  <c:v>220.7578125</c:v>
                </c:pt>
                <c:pt idx="88">
                  <c:v>210.0859375</c:v>
                </c:pt>
                <c:pt idx="89">
                  <c:v>272.5986328125</c:v>
                </c:pt>
                <c:pt idx="90">
                  <c:v>823.3740234375</c:v>
                </c:pt>
                <c:pt idx="91">
                  <c:v>301.0166015625</c:v>
                </c:pt>
              </c:numCache>
            </c:numRef>
          </c:val>
        </c:ser>
        <c:marker val="1"/>
        <c:axId val="108129664"/>
        <c:axId val="108127744"/>
      </c:lineChart>
      <c:catAx>
        <c:axId val="108106496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ja-JP" sz="1000" b="1" i="0" u="none" strike="noStrike" baseline="0"/>
                  <a:t>直近</a:t>
                </a:r>
                <a:r>
                  <a:rPr lang="en-US" altLang="ja-JP" sz="1000" b="1" i="0" u="none" strike="noStrike" baseline="0"/>
                  <a:t>3</a:t>
                </a:r>
                <a:r>
                  <a:rPr lang="ja-JP" altLang="ja-JP" sz="1000" b="1" i="0" u="none" strike="noStrike" baseline="0"/>
                  <a:t>ヶ月間 </a:t>
                </a:r>
                <a:r>
                  <a:rPr lang="en-US" altLang="ja-JP" sz="1000" b="1" i="0" u="none" strike="noStrike" baseline="0"/>
                  <a:t>-30</a:t>
                </a:r>
                <a:r>
                  <a:rPr lang="ja-JP" altLang="en-US" sz="1000" b="1" i="0" u="none" strike="noStrike" baseline="0"/>
                  <a:t>分</a:t>
                </a:r>
                <a:r>
                  <a:rPr lang="ja-JP" altLang="ja-JP" sz="1000" b="1" i="0" u="none" strike="noStrike" baseline="0"/>
                  <a:t>平均</a:t>
                </a:r>
                <a:r>
                  <a:rPr lang="en-US" altLang="ja-JP" sz="1000" b="1" i="0" u="none" strike="noStrike" baseline="0"/>
                  <a:t>-</a:t>
                </a:r>
                <a:r>
                  <a:rPr lang="ja-JP" altLang="ja-JP" sz="1000" b="1" i="0" u="none" strike="noStrike" baseline="0"/>
                  <a:t> </a:t>
                </a:r>
                <a:endParaRPr lang="ja-JP" altLang="en-US">
                  <a:latin typeface="Arial" pitchFamily="34" charset="0"/>
                  <a:cs typeface="Arial" pitchFamily="34" charset="0"/>
                </a:endParaRPr>
              </a:p>
            </c:rich>
          </c:tx>
          <c:layout/>
        </c:title>
        <c:numFmt formatCode="yyyy/mm/dd" sourceLinked="1"/>
        <c:tickLblPos val="nextTo"/>
        <c:crossAx val="108109184"/>
        <c:crosses val="autoZero"/>
        <c:auto val="1"/>
        <c:lblAlgn val="ctr"/>
        <c:lblOffset val="100"/>
        <c:tickLblSkip val="7"/>
        <c:tickMarkSkip val="7"/>
      </c:catAx>
      <c:valAx>
        <c:axId val="10810918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メモリ 使用量 </a:t>
                </a:r>
                <a:r>
                  <a:rPr lang="en-US" altLang="ja-JP"/>
                  <a:t>[</a:t>
                </a:r>
                <a:r>
                  <a:rPr lang="ja-JP" altLang="en-US"/>
                  <a:t>平均</a:t>
                </a:r>
                <a:r>
                  <a:rPr lang="en-US" altLang="ja-JP"/>
                  <a:t>/</a:t>
                </a:r>
                <a:r>
                  <a:rPr lang="ja-JP" altLang="en-US"/>
                  <a:t>最大</a:t>
                </a:r>
                <a:r>
                  <a:rPr lang="en-US" altLang="ja-JP"/>
                  <a:t>/</a:t>
                </a:r>
                <a:r>
                  <a:rPr lang="ja-JP" altLang="en-US"/>
                  <a:t>最小</a:t>
                </a:r>
                <a:r>
                  <a:rPr lang="en-US" altLang="ja-JP"/>
                  <a:t>]</a:t>
                </a:r>
                <a:r>
                  <a:rPr lang="ja-JP" altLang="en-US"/>
                  <a:t> </a:t>
                </a:r>
                <a:r>
                  <a:rPr lang="en-US" altLang="ja-JP"/>
                  <a:t>(MB)</a:t>
                </a:r>
                <a:endParaRPr lang="ja-JP" altLang="en-US"/>
              </a:p>
            </c:rich>
          </c:tx>
          <c:layout/>
        </c:title>
        <c:numFmt formatCode="#,##0;[Red]\-#,##0" sourceLinked="1"/>
        <c:tickLblPos val="nextTo"/>
        <c:crossAx val="108106496"/>
        <c:crosses val="autoZero"/>
        <c:crossBetween val="between"/>
      </c:valAx>
      <c:valAx>
        <c:axId val="108127744"/>
        <c:scaling>
          <c:orientation val="minMax"/>
          <c:max val="1600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バルーンメモリ </a:t>
                </a:r>
                <a:r>
                  <a:rPr lang="en-US" altLang="ja-JP"/>
                  <a:t>/</a:t>
                </a:r>
                <a:r>
                  <a:rPr lang="ja-JP" altLang="en-US"/>
                  <a:t> スワップメモリ </a:t>
                </a:r>
                <a:r>
                  <a:rPr lang="en-US" altLang="ja-JP"/>
                  <a:t>(MB)</a:t>
                </a:r>
                <a:endParaRPr lang="ja-JP" altLang="en-US"/>
              </a:p>
            </c:rich>
          </c:tx>
          <c:layout/>
        </c:title>
        <c:numFmt formatCode="#,##0;[Red]\-#,##0" sourceLinked="1"/>
        <c:tickLblPos val="nextTo"/>
        <c:crossAx val="108129664"/>
        <c:crosses val="max"/>
        <c:crossBetween val="between"/>
      </c:valAx>
      <c:catAx>
        <c:axId val="108129664"/>
        <c:scaling>
          <c:orientation val="minMax"/>
        </c:scaling>
        <c:delete val="1"/>
        <c:axPos val="b"/>
        <c:numFmt formatCode="yyyy/mm/dd" sourceLinked="1"/>
        <c:tickLblPos val="none"/>
        <c:crossAx val="108127744"/>
        <c:crosses val="autoZero"/>
        <c:auto val="1"/>
        <c:lblAlgn val="ctr"/>
        <c:lblOffset val="100"/>
      </c:catAx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82569979147863892"/>
          <c:y val="0.65959007788600044"/>
          <c:w val="0.16308304544935839"/>
          <c:h val="0.17754488120927511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(ESX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ホストレベル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 データストア関連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</a:t>
            </a:r>
            <a:b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</a:b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esxhost</a:t>
            </a:r>
          </a:p>
        </c:rich>
      </c:tx>
      <c:layout>
        <c:manualLayout>
          <c:xMode val="edge"/>
          <c:yMode val="edge"/>
          <c:x val="0.31525458013434426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7.0901662983826913E-2"/>
          <c:y val="9.1303304720347381E-2"/>
          <c:w val="0.71058412955297556"/>
          <c:h val="0.74303783902012732"/>
        </c:manualLayout>
      </c:layout>
      <c:barChart>
        <c:barDir val="col"/>
        <c:grouping val="stacked"/>
        <c:ser>
          <c:idx val="0"/>
          <c:order val="1"/>
          <c:tx>
            <c:strRef>
              <c:f>'ESXDATA-&lt;esx&gt;'!$E$201</c:f>
              <c:strCache>
                <c:ptCount val="1"/>
                <c:pt idx="0">
                  <c:v>Disk Usage Min (KB/sec)</c:v>
                </c:pt>
              </c:strCache>
            </c:strRef>
          </c:tx>
          <c:spPr>
            <a:noFill/>
            <a:ln w="28575">
              <a:noFill/>
            </a:ln>
          </c:spPr>
          <c:val>
            <c:numRef>
              <c:f>'ESXDATA-&lt;esx&gt;'!$E$202:$E$293</c:f>
              <c:numCache>
                <c:formatCode>General</c:formatCode>
                <c:ptCount val="92"/>
                <c:pt idx="60">
                  <c:v>257</c:v>
                </c:pt>
                <c:pt idx="61">
                  <c:v>259</c:v>
                </c:pt>
                <c:pt idx="62">
                  <c:v>275</c:v>
                </c:pt>
                <c:pt idx="63">
                  <c:v>274</c:v>
                </c:pt>
                <c:pt idx="64">
                  <c:v>275</c:v>
                </c:pt>
                <c:pt idx="65">
                  <c:v>257</c:v>
                </c:pt>
                <c:pt idx="66">
                  <c:v>269</c:v>
                </c:pt>
                <c:pt idx="67">
                  <c:v>322</c:v>
                </c:pt>
                <c:pt idx="68">
                  <c:v>331</c:v>
                </c:pt>
                <c:pt idx="69">
                  <c:v>320</c:v>
                </c:pt>
                <c:pt idx="70">
                  <c:v>319</c:v>
                </c:pt>
                <c:pt idx="71">
                  <c:v>329</c:v>
                </c:pt>
                <c:pt idx="72">
                  <c:v>344</c:v>
                </c:pt>
                <c:pt idx="73">
                  <c:v>342</c:v>
                </c:pt>
                <c:pt idx="74">
                  <c:v>376</c:v>
                </c:pt>
                <c:pt idx="75">
                  <c:v>404</c:v>
                </c:pt>
                <c:pt idx="76">
                  <c:v>409</c:v>
                </c:pt>
                <c:pt idx="77">
                  <c:v>412</c:v>
                </c:pt>
                <c:pt idx="78">
                  <c:v>401</c:v>
                </c:pt>
                <c:pt idx="79">
                  <c:v>348</c:v>
                </c:pt>
                <c:pt idx="80">
                  <c:v>341</c:v>
                </c:pt>
                <c:pt idx="81">
                  <c:v>339</c:v>
                </c:pt>
                <c:pt idx="82">
                  <c:v>353</c:v>
                </c:pt>
                <c:pt idx="85">
                  <c:v>301</c:v>
                </c:pt>
                <c:pt idx="86">
                  <c:v>290</c:v>
                </c:pt>
                <c:pt idx="87">
                  <c:v>353</c:v>
                </c:pt>
                <c:pt idx="88">
                  <c:v>366</c:v>
                </c:pt>
                <c:pt idx="89">
                  <c:v>356</c:v>
                </c:pt>
                <c:pt idx="90">
                  <c:v>356</c:v>
                </c:pt>
                <c:pt idx="91">
                  <c:v>366</c:v>
                </c:pt>
              </c:numCache>
            </c:numRef>
          </c:val>
        </c:ser>
        <c:ser>
          <c:idx val="2"/>
          <c:order val="2"/>
          <c:tx>
            <c:strRef>
              <c:f>'ESXDATA-&lt;esx&gt;'!$M$201</c:f>
              <c:strCache>
                <c:ptCount val="1"/>
                <c:pt idx="0">
                  <c:v> Disk Usage Max (KB/sec)</c:v>
                </c:pt>
              </c:strCache>
            </c:strRef>
          </c:tx>
          <c:spPr>
            <a:gradFill flip="none" rotWithShape="1">
              <a:gsLst>
                <a:gs pos="0">
                  <a:srgbClr val="8064A2"/>
                </a:gs>
                <a:gs pos="50000">
                  <a:srgbClr val="8064A2">
                    <a:lumMod val="40000"/>
                    <a:lumOff val="60000"/>
                  </a:srgbClr>
                </a:gs>
                <a:gs pos="100000">
                  <a:schemeClr val="accent4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  <a:ln w="28575">
              <a:noFill/>
            </a:ln>
          </c:spPr>
          <c:val>
            <c:numRef>
              <c:f>'ESXDATA-&lt;esx&gt;'!$M$202:$M$293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60</c:v>
                </c:pt>
                <c:pt idx="61">
                  <c:v>33</c:v>
                </c:pt>
                <c:pt idx="62">
                  <c:v>22</c:v>
                </c:pt>
                <c:pt idx="63">
                  <c:v>28</c:v>
                </c:pt>
                <c:pt idx="64">
                  <c:v>32</c:v>
                </c:pt>
                <c:pt idx="65">
                  <c:v>31</c:v>
                </c:pt>
                <c:pt idx="66">
                  <c:v>153</c:v>
                </c:pt>
                <c:pt idx="67">
                  <c:v>101</c:v>
                </c:pt>
                <c:pt idx="68">
                  <c:v>84</c:v>
                </c:pt>
                <c:pt idx="69">
                  <c:v>90</c:v>
                </c:pt>
                <c:pt idx="70">
                  <c:v>92</c:v>
                </c:pt>
                <c:pt idx="71">
                  <c:v>113</c:v>
                </c:pt>
                <c:pt idx="72">
                  <c:v>82</c:v>
                </c:pt>
                <c:pt idx="73">
                  <c:v>80</c:v>
                </c:pt>
                <c:pt idx="74">
                  <c:v>150</c:v>
                </c:pt>
                <c:pt idx="75">
                  <c:v>39</c:v>
                </c:pt>
                <c:pt idx="76">
                  <c:v>22</c:v>
                </c:pt>
                <c:pt idx="77">
                  <c:v>16</c:v>
                </c:pt>
                <c:pt idx="78">
                  <c:v>30</c:v>
                </c:pt>
                <c:pt idx="79">
                  <c:v>1178</c:v>
                </c:pt>
                <c:pt idx="80">
                  <c:v>200</c:v>
                </c:pt>
                <c:pt idx="81">
                  <c:v>448</c:v>
                </c:pt>
                <c:pt idx="82">
                  <c:v>329</c:v>
                </c:pt>
                <c:pt idx="83">
                  <c:v>0</c:v>
                </c:pt>
                <c:pt idx="84">
                  <c:v>0</c:v>
                </c:pt>
                <c:pt idx="85">
                  <c:v>70</c:v>
                </c:pt>
                <c:pt idx="86">
                  <c:v>949</c:v>
                </c:pt>
                <c:pt idx="87">
                  <c:v>2187</c:v>
                </c:pt>
                <c:pt idx="88">
                  <c:v>319</c:v>
                </c:pt>
                <c:pt idx="89">
                  <c:v>394</c:v>
                </c:pt>
                <c:pt idx="90">
                  <c:v>341</c:v>
                </c:pt>
                <c:pt idx="91">
                  <c:v>62</c:v>
                </c:pt>
              </c:numCache>
            </c:numRef>
          </c:val>
        </c:ser>
        <c:gapWidth val="60"/>
        <c:overlap val="100"/>
        <c:axId val="108266624"/>
        <c:axId val="108277760"/>
      </c:barChart>
      <c:lineChart>
        <c:grouping val="standard"/>
        <c:ser>
          <c:idx val="1"/>
          <c:order val="0"/>
          <c:tx>
            <c:strRef>
              <c:f>'ESXDATA-&lt;esx&gt;'!$C$201</c:f>
              <c:strCache>
                <c:ptCount val="1"/>
                <c:pt idx="0">
                  <c:v>Disk Usage Avg(KB/sec)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cat>
            <c:numRef>
              <c:f>'ESXDATA-&lt;esx&gt;'!$B$202:$B$293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'ESXDATA-&lt;esx&gt;'!$C$202:$C$293</c:f>
              <c:numCache>
                <c:formatCode>General</c:formatCode>
                <c:ptCount val="92"/>
                <c:pt idx="60">
                  <c:v>279.71428571428601</c:v>
                </c:pt>
                <c:pt idx="61">
                  <c:v>277.07692307692298</c:v>
                </c:pt>
                <c:pt idx="62">
                  <c:v>283.230769230769</c:v>
                </c:pt>
                <c:pt idx="63">
                  <c:v>286</c:v>
                </c:pt>
                <c:pt idx="64">
                  <c:v>282.07692307692298</c:v>
                </c:pt>
                <c:pt idx="65">
                  <c:v>278</c:v>
                </c:pt>
                <c:pt idx="66">
                  <c:v>311.92307692307702</c:v>
                </c:pt>
                <c:pt idx="67">
                  <c:v>339.07692307692298</c:v>
                </c:pt>
                <c:pt idx="68">
                  <c:v>339.30769230769198</c:v>
                </c:pt>
                <c:pt idx="69">
                  <c:v>337.38461538461502</c:v>
                </c:pt>
                <c:pt idx="70">
                  <c:v>335.61538461538498</c:v>
                </c:pt>
                <c:pt idx="71">
                  <c:v>349.538461538462</c:v>
                </c:pt>
                <c:pt idx="72">
                  <c:v>360.07692307692298</c:v>
                </c:pt>
                <c:pt idx="73">
                  <c:v>360.07692307692298</c:v>
                </c:pt>
                <c:pt idx="74">
                  <c:v>426.69230769230802</c:v>
                </c:pt>
                <c:pt idx="75">
                  <c:v>421.84615384615398</c:v>
                </c:pt>
                <c:pt idx="76">
                  <c:v>419.769230769231</c:v>
                </c:pt>
                <c:pt idx="77">
                  <c:v>420.230769230769</c:v>
                </c:pt>
                <c:pt idx="78">
                  <c:v>413.461538461538</c:v>
                </c:pt>
                <c:pt idx="79">
                  <c:v>496.07692307692298</c:v>
                </c:pt>
                <c:pt idx="80">
                  <c:v>377.55</c:v>
                </c:pt>
                <c:pt idx="81">
                  <c:v>400.54166666666703</c:v>
                </c:pt>
                <c:pt idx="82">
                  <c:v>402.625</c:v>
                </c:pt>
                <c:pt idx="85">
                  <c:v>328.92</c:v>
                </c:pt>
                <c:pt idx="86">
                  <c:v>389.97916666666703</c:v>
                </c:pt>
                <c:pt idx="87">
                  <c:v>466.72916666666703</c:v>
                </c:pt>
                <c:pt idx="88">
                  <c:v>410.20833333333297</c:v>
                </c:pt>
                <c:pt idx="89">
                  <c:v>407.04166666666703</c:v>
                </c:pt>
                <c:pt idx="90">
                  <c:v>405.22916666666703</c:v>
                </c:pt>
                <c:pt idx="91">
                  <c:v>403.8</c:v>
                </c:pt>
              </c:numCache>
            </c:numRef>
          </c:val>
        </c:ser>
        <c:marker val="1"/>
        <c:axId val="108266624"/>
        <c:axId val="108277760"/>
      </c:lineChart>
      <c:lineChart>
        <c:grouping val="standard"/>
        <c:ser>
          <c:idx val="3"/>
          <c:order val="3"/>
          <c:tx>
            <c:strRef>
              <c:f>'ESXDATA-&lt;esx&gt;'!$H$201</c:f>
              <c:strCache>
                <c:ptCount val="1"/>
                <c:pt idx="0">
                  <c:v> Disk Total Latency (ms)</c:v>
                </c:pt>
              </c:strCache>
            </c:strRef>
          </c:tx>
          <c:spPr>
            <a:ln w="28575">
              <a:solidFill>
                <a:schemeClr val="accent2">
                  <a:lumMod val="20000"/>
                  <a:lumOff val="80000"/>
                </a:schemeClr>
              </a:solidFill>
            </a:ln>
          </c:spPr>
          <c:marker>
            <c:symbol val="x"/>
            <c:size val="5"/>
            <c:spPr>
              <a:ln w="22225">
                <a:solidFill>
                  <a:srgbClr val="C00000"/>
                </a:solidFill>
              </a:ln>
            </c:spPr>
          </c:marker>
          <c:val>
            <c:numRef>
              <c:f>'ESXDATA-&lt;esx&gt;'!$H$202:$H$293</c:f>
              <c:numCache>
                <c:formatCode>General</c:formatCode>
                <c:ptCount val="92"/>
                <c:pt idx="60">
                  <c:v>8.1666666666666696</c:v>
                </c:pt>
                <c:pt idx="61">
                  <c:v>16.1666666666667</c:v>
                </c:pt>
                <c:pt idx="62">
                  <c:v>42.8333333333333</c:v>
                </c:pt>
                <c:pt idx="63">
                  <c:v>21.75</c:v>
                </c:pt>
                <c:pt idx="64">
                  <c:v>16.1666666666667</c:v>
                </c:pt>
                <c:pt idx="65">
                  <c:v>4.9166666666666696</c:v>
                </c:pt>
                <c:pt idx="66">
                  <c:v>17.4166666666667</c:v>
                </c:pt>
                <c:pt idx="67">
                  <c:v>28.25</c:v>
                </c:pt>
                <c:pt idx="68">
                  <c:v>23.0833333333333</c:v>
                </c:pt>
                <c:pt idx="69">
                  <c:v>14.6666666666667</c:v>
                </c:pt>
                <c:pt idx="70">
                  <c:v>14.3333333333333</c:v>
                </c:pt>
                <c:pt idx="71">
                  <c:v>14.0833333333333</c:v>
                </c:pt>
                <c:pt idx="72">
                  <c:v>13.9166666666667</c:v>
                </c:pt>
                <c:pt idx="73">
                  <c:v>12.75</c:v>
                </c:pt>
                <c:pt idx="74">
                  <c:v>22.9166666666667</c:v>
                </c:pt>
                <c:pt idx="75">
                  <c:v>38.4166666666667</c:v>
                </c:pt>
                <c:pt idx="76">
                  <c:v>30.9166666666667</c:v>
                </c:pt>
                <c:pt idx="77">
                  <c:v>39</c:v>
                </c:pt>
                <c:pt idx="78">
                  <c:v>45.8333333333333</c:v>
                </c:pt>
                <c:pt idx="79">
                  <c:v>44.6666666666667</c:v>
                </c:pt>
                <c:pt idx="80">
                  <c:v>41.631578947368403</c:v>
                </c:pt>
                <c:pt idx="81">
                  <c:v>45.9791666666667</c:v>
                </c:pt>
                <c:pt idx="82">
                  <c:v>41.975000000000001</c:v>
                </c:pt>
                <c:pt idx="85">
                  <c:v>4.5</c:v>
                </c:pt>
                <c:pt idx="86">
                  <c:v>5.8541666666666696</c:v>
                </c:pt>
                <c:pt idx="87">
                  <c:v>5.0833333333333304</c:v>
                </c:pt>
                <c:pt idx="88">
                  <c:v>8.5208333333333304</c:v>
                </c:pt>
                <c:pt idx="89">
                  <c:v>5.5</c:v>
                </c:pt>
                <c:pt idx="90">
                  <c:v>5.0208333333333304</c:v>
                </c:pt>
                <c:pt idx="91">
                  <c:v>4.8</c:v>
                </c:pt>
              </c:numCache>
            </c:numRef>
          </c:val>
        </c:ser>
        <c:marker val="1"/>
        <c:axId val="108298240"/>
        <c:axId val="108279680"/>
      </c:lineChart>
      <c:catAx>
        <c:axId val="108266624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ja-JP" sz="1000" b="1" i="0" u="none" strike="noStrike" baseline="0"/>
                  <a:t>直近</a:t>
                </a:r>
                <a:r>
                  <a:rPr lang="en-US" altLang="ja-JP" sz="1000" b="1" i="0" u="none" strike="noStrike" baseline="0"/>
                  <a:t>3</a:t>
                </a:r>
                <a:r>
                  <a:rPr lang="ja-JP" altLang="ja-JP" sz="1000" b="1" i="0" u="none" strike="noStrike" baseline="0"/>
                  <a:t>ヶ月間 </a:t>
                </a:r>
                <a:r>
                  <a:rPr lang="en-US" altLang="ja-JP" sz="1000" b="1" i="0" u="none" strike="noStrike" baseline="0"/>
                  <a:t>-30</a:t>
                </a:r>
                <a:r>
                  <a:rPr lang="ja-JP" altLang="en-US" sz="1000" b="1" i="0" u="none" strike="noStrike" baseline="0"/>
                  <a:t>分</a:t>
                </a:r>
                <a:r>
                  <a:rPr lang="ja-JP" altLang="ja-JP" sz="1000" b="1" i="0" u="none" strike="noStrike" baseline="0"/>
                  <a:t>平均</a:t>
                </a:r>
                <a:r>
                  <a:rPr lang="en-US" altLang="ja-JP" sz="1000" b="1" i="0" u="none" strike="noStrike" baseline="0"/>
                  <a:t>-</a:t>
                </a:r>
                <a:r>
                  <a:rPr lang="ja-JP" altLang="ja-JP" sz="1000" b="1" i="0" u="none" strike="noStrike" baseline="0"/>
                  <a:t> </a:t>
                </a:r>
                <a:endParaRPr lang="ja-JP" altLang="en-US">
                  <a:latin typeface="Arial" pitchFamily="34" charset="0"/>
                  <a:cs typeface="Arial" pitchFamily="34" charset="0"/>
                </a:endParaRPr>
              </a:p>
            </c:rich>
          </c:tx>
          <c:layout/>
        </c:title>
        <c:numFmt formatCode="yyyy/mm/dd" sourceLinked="1"/>
        <c:tickLblPos val="nextTo"/>
        <c:crossAx val="108277760"/>
        <c:crosses val="autoZero"/>
        <c:auto val="1"/>
        <c:lblAlgn val="ctr"/>
        <c:lblOffset val="100"/>
        <c:tickLblSkip val="7"/>
        <c:tickMarkSkip val="7"/>
      </c:catAx>
      <c:valAx>
        <c:axId val="1082777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データ転送量 </a:t>
                </a:r>
                <a:r>
                  <a:rPr lang="en-US" altLang="ja-JP"/>
                  <a:t>[</a:t>
                </a:r>
                <a:r>
                  <a:rPr lang="ja-JP" altLang="en-US"/>
                  <a:t>平均</a:t>
                </a:r>
                <a:r>
                  <a:rPr lang="en-US" altLang="ja-JP"/>
                  <a:t>/</a:t>
                </a:r>
                <a:r>
                  <a:rPr lang="ja-JP" altLang="en-US"/>
                  <a:t>最大</a:t>
                </a:r>
                <a:r>
                  <a:rPr lang="en-US" altLang="ja-JP"/>
                  <a:t>/</a:t>
                </a:r>
                <a:r>
                  <a:rPr lang="ja-JP" altLang="en-US"/>
                  <a:t>最小</a:t>
                </a:r>
                <a:r>
                  <a:rPr lang="en-US" altLang="ja-JP"/>
                  <a:t>]</a:t>
                </a:r>
                <a:r>
                  <a:rPr lang="ja-JP" altLang="en-US"/>
                  <a:t> </a:t>
                </a:r>
                <a:r>
                  <a:rPr lang="en-US" altLang="ja-JP"/>
                  <a:t>(KB/sec)</a:t>
                </a:r>
                <a:endParaRPr lang="ja-JP" altLang="en-US"/>
              </a:p>
            </c:rich>
          </c:tx>
          <c:layout/>
        </c:title>
        <c:numFmt formatCode="General" sourceLinked="1"/>
        <c:tickLblPos val="nextTo"/>
        <c:crossAx val="108266624"/>
        <c:crosses val="autoZero"/>
        <c:crossBetween val="between"/>
      </c:valAx>
      <c:valAx>
        <c:axId val="108279680"/>
        <c:scaling>
          <c:orientation val="minMax"/>
          <c:max val="10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Disk Latency (ms)</a:t>
                </a:r>
              </a:p>
            </c:rich>
          </c:tx>
          <c:layout/>
        </c:title>
        <c:numFmt formatCode="General" sourceLinked="1"/>
        <c:tickLblPos val="nextTo"/>
        <c:crossAx val="108298240"/>
        <c:crosses val="max"/>
        <c:crossBetween val="between"/>
      </c:valAx>
      <c:catAx>
        <c:axId val="108298240"/>
        <c:scaling>
          <c:orientation val="minMax"/>
        </c:scaling>
        <c:delete val="1"/>
        <c:axPos val="b"/>
        <c:tickLblPos val="none"/>
        <c:crossAx val="108279680"/>
        <c:crosses val="autoZero"/>
        <c:auto val="1"/>
        <c:lblAlgn val="ctr"/>
        <c:lblOffset val="100"/>
      </c:catAx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82569979147863914"/>
          <c:y val="0.65959007788600066"/>
          <c:w val="0.12251910408432147"/>
          <c:h val="7.1017952483709679E-2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キャパシティ分析グラフ 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(ESX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ホストレベル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:</a:t>
            </a:r>
            <a:r>
              <a:rPr lang="ja-JP" altLang="en-US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 ネットワーク関連</a:t>
            </a: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)</a:t>
            </a:r>
            <a:b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</a:br>
            <a:r>
              <a:rPr lang="en-US" altLang="ja-JP" sz="12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t>esxhost</a:t>
            </a:r>
          </a:p>
        </c:rich>
      </c:tx>
      <c:layout>
        <c:manualLayout>
          <c:xMode val="edge"/>
          <c:yMode val="edge"/>
          <c:x val="0.31525458013434443"/>
          <c:y val="1.262532540864964E-2"/>
        </c:manualLayout>
      </c:layout>
    </c:title>
    <c:plotArea>
      <c:layout>
        <c:manualLayout>
          <c:layoutTarget val="inner"/>
          <c:xMode val="edge"/>
          <c:yMode val="edge"/>
          <c:x val="7.0901662983826913E-2"/>
          <c:y val="9.1303304720347381E-2"/>
          <c:w val="0.71058412955297556"/>
          <c:h val="0.74303783902012754"/>
        </c:manualLayout>
      </c:layout>
      <c:barChart>
        <c:barDir val="col"/>
        <c:grouping val="stacked"/>
        <c:ser>
          <c:idx val="0"/>
          <c:order val="1"/>
          <c:tx>
            <c:strRef>
              <c:f>'ESXDATA-&lt;esx&gt;'!$E$301</c:f>
              <c:strCache>
                <c:ptCount val="1"/>
                <c:pt idx="0">
                  <c:v>Network Usage Min (Mbps)</c:v>
                </c:pt>
              </c:strCache>
            </c:strRef>
          </c:tx>
          <c:spPr>
            <a:noFill/>
            <a:ln w="28575">
              <a:noFill/>
            </a:ln>
          </c:spPr>
          <c:val>
            <c:numRef>
              <c:f>'ESXDATA-&lt;esx&gt;'!$E$302:$E$393</c:f>
              <c:numCache>
                <c:formatCode>General</c:formatCode>
                <c:ptCount val="92"/>
                <c:pt idx="60">
                  <c:v>7.91015625E-2</c:v>
                </c:pt>
                <c:pt idx="61">
                  <c:v>5.17578125E-2</c:v>
                </c:pt>
                <c:pt idx="62">
                  <c:v>8.59375E-2</c:v>
                </c:pt>
                <c:pt idx="63">
                  <c:v>7.6171875E-2</c:v>
                </c:pt>
                <c:pt idx="64">
                  <c:v>0.1162109375</c:v>
                </c:pt>
                <c:pt idx="65">
                  <c:v>0.1005859375</c:v>
                </c:pt>
                <c:pt idx="66">
                  <c:v>0.115234375</c:v>
                </c:pt>
                <c:pt idx="67">
                  <c:v>0.10546875</c:v>
                </c:pt>
                <c:pt idx="68">
                  <c:v>0.2197265625</c:v>
                </c:pt>
                <c:pt idx="69">
                  <c:v>0.22265625</c:v>
                </c:pt>
                <c:pt idx="70">
                  <c:v>0.2216796875</c:v>
                </c:pt>
                <c:pt idx="71">
                  <c:v>0.2236328125</c:v>
                </c:pt>
                <c:pt idx="72">
                  <c:v>0.2841796875</c:v>
                </c:pt>
                <c:pt idx="73">
                  <c:v>0.2919921875</c:v>
                </c:pt>
                <c:pt idx="74">
                  <c:v>0.1865234375</c:v>
                </c:pt>
                <c:pt idx="75">
                  <c:v>0.1796875</c:v>
                </c:pt>
                <c:pt idx="76">
                  <c:v>0.16015625</c:v>
                </c:pt>
                <c:pt idx="77">
                  <c:v>0.162109375</c:v>
                </c:pt>
                <c:pt idx="78">
                  <c:v>0.1806640625</c:v>
                </c:pt>
                <c:pt idx="79">
                  <c:v>0.1904296875</c:v>
                </c:pt>
                <c:pt idx="80">
                  <c:v>0.181640625</c:v>
                </c:pt>
                <c:pt idx="81">
                  <c:v>8.984375E-2</c:v>
                </c:pt>
                <c:pt idx="82">
                  <c:v>0.130859375</c:v>
                </c:pt>
                <c:pt idx="85">
                  <c:v>3.02734375E-2</c:v>
                </c:pt>
                <c:pt idx="86">
                  <c:v>3.515625E-2</c:v>
                </c:pt>
                <c:pt idx="87">
                  <c:v>0.1875</c:v>
                </c:pt>
                <c:pt idx="88">
                  <c:v>0.21484375</c:v>
                </c:pt>
                <c:pt idx="89">
                  <c:v>0.2177734375</c:v>
                </c:pt>
                <c:pt idx="90">
                  <c:v>0.21484375</c:v>
                </c:pt>
                <c:pt idx="91">
                  <c:v>0.212890625</c:v>
                </c:pt>
              </c:numCache>
            </c:numRef>
          </c:val>
        </c:ser>
        <c:ser>
          <c:idx val="2"/>
          <c:order val="2"/>
          <c:tx>
            <c:strRef>
              <c:f>'ESXDATA-&lt;esx&gt;'!$M$301</c:f>
              <c:strCache>
                <c:ptCount val="1"/>
                <c:pt idx="0">
                  <c:v> Network Usage Max (Mbps)</c:v>
                </c:pt>
              </c:strCache>
            </c:strRef>
          </c:tx>
          <c:spPr>
            <a:gradFill flip="none" rotWithShape="1">
              <a:gsLst>
                <a:gs pos="0">
                  <a:srgbClr val="F79646"/>
                </a:gs>
                <a:gs pos="50000">
                  <a:srgbClr val="F79646">
                    <a:lumMod val="60000"/>
                    <a:lumOff val="40000"/>
                  </a:srgb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  <a:ln w="28575">
              <a:noFill/>
            </a:ln>
          </c:spPr>
          <c:val>
            <c:numRef>
              <c:f>'ESXDATA-&lt;esx&gt;'!$M$302:$M$393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2.837890625</c:v>
                </c:pt>
                <c:pt idx="61">
                  <c:v>0.80987077951431297</c:v>
                </c:pt>
                <c:pt idx="62">
                  <c:v>0.69088041782379106</c:v>
                </c:pt>
                <c:pt idx="63">
                  <c:v>0.455078125</c:v>
                </c:pt>
                <c:pt idx="64">
                  <c:v>2.2306941151618958</c:v>
                </c:pt>
                <c:pt idx="65">
                  <c:v>0.38746994733810403</c:v>
                </c:pt>
                <c:pt idx="66">
                  <c:v>3.1453575491905212</c:v>
                </c:pt>
                <c:pt idx="67">
                  <c:v>0.60276442766189597</c:v>
                </c:pt>
                <c:pt idx="68">
                  <c:v>0.252403855323791</c:v>
                </c:pt>
                <c:pt idx="69">
                  <c:v>0.21454326808452601</c:v>
                </c:pt>
                <c:pt idx="70">
                  <c:v>0.21041165292263</c:v>
                </c:pt>
                <c:pt idx="71">
                  <c:v>0.36681190133094799</c:v>
                </c:pt>
                <c:pt idx="72">
                  <c:v>0.4580078125</c:v>
                </c:pt>
                <c:pt idx="73">
                  <c:v>1.404071509838104</c:v>
                </c:pt>
                <c:pt idx="74">
                  <c:v>1.439678490161896</c:v>
                </c:pt>
                <c:pt idx="75">
                  <c:v>2.2315955758094788</c:v>
                </c:pt>
                <c:pt idx="76">
                  <c:v>0.439903855323791</c:v>
                </c:pt>
                <c:pt idx="77">
                  <c:v>0.70590445399284407</c:v>
                </c:pt>
                <c:pt idx="78">
                  <c:v>0.83924281597137496</c:v>
                </c:pt>
                <c:pt idx="79">
                  <c:v>2.3661358356475799</c:v>
                </c:pt>
                <c:pt idx="80">
                  <c:v>4.1095702648162797</c:v>
                </c:pt>
                <c:pt idx="81">
                  <c:v>2.37335205078125</c:v>
                </c:pt>
                <c:pt idx="82">
                  <c:v>3.5608154535293597</c:v>
                </c:pt>
                <c:pt idx="83">
                  <c:v>0</c:v>
                </c:pt>
                <c:pt idx="84">
                  <c:v>0</c:v>
                </c:pt>
                <c:pt idx="85">
                  <c:v>2.1756249666213998</c:v>
                </c:pt>
                <c:pt idx="86">
                  <c:v>4.0730184316635096</c:v>
                </c:pt>
                <c:pt idx="87">
                  <c:v>5.1186930537223816</c:v>
                </c:pt>
                <c:pt idx="88">
                  <c:v>10.46856689453125</c:v>
                </c:pt>
                <c:pt idx="89">
                  <c:v>5.0673828125</c:v>
                </c:pt>
                <c:pt idx="90">
                  <c:v>3.71356201171875</c:v>
                </c:pt>
              </c:numCache>
            </c:numRef>
          </c:val>
        </c:ser>
        <c:gapWidth val="60"/>
        <c:overlap val="100"/>
        <c:axId val="108370176"/>
        <c:axId val="108389888"/>
      </c:barChart>
      <c:barChart>
        <c:barDir val="col"/>
        <c:grouping val="stacked"/>
        <c:ser>
          <c:idx val="5"/>
          <c:order val="3"/>
          <c:tx>
            <c:strRef>
              <c:f>'ESXDATA-&lt;esx&gt;'!$N$301</c:f>
              <c:strCache>
                <c:ptCount val="1"/>
                <c:pt idx="0">
                  <c:v> Receive Ratio(%)</c:v>
                </c:pt>
              </c:strCache>
            </c:strRef>
          </c:tx>
          <c:spPr>
            <a:solidFill>
              <a:srgbClr val="1F497D">
                <a:lumMod val="20000"/>
                <a:lumOff val="80000"/>
                <a:alpha val="50000"/>
              </a:srgbClr>
            </a:solidFill>
            <a:ln w="22225">
              <a:noFill/>
            </a:ln>
          </c:spPr>
          <c:val>
            <c:numRef>
              <c:f>'ESXDATA-&lt;esx&gt;'!$N$302:$N$393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0.50007754086596701</c:v>
                </c:pt>
                <c:pt idx="61">
                  <c:v>0.48787474341371895</c:v>
                </c:pt>
                <c:pt idx="62">
                  <c:v>0.42675292340177201</c:v>
                </c:pt>
                <c:pt idx="63">
                  <c:v>0.47724213086631001</c:v>
                </c:pt>
                <c:pt idx="64">
                  <c:v>0.52752154148191899</c:v>
                </c:pt>
                <c:pt idx="65">
                  <c:v>0.43165722993783495</c:v>
                </c:pt>
                <c:pt idx="66">
                  <c:v>0.63604239809663099</c:v>
                </c:pt>
                <c:pt idx="67">
                  <c:v>0.35126791147967096</c:v>
                </c:pt>
                <c:pt idx="68">
                  <c:v>0.28959848930753496</c:v>
                </c:pt>
                <c:pt idx="69">
                  <c:v>0.24245440343531399</c:v>
                </c:pt>
                <c:pt idx="70">
                  <c:v>0.244128344392851</c:v>
                </c:pt>
                <c:pt idx="71">
                  <c:v>0.26821999901675697</c:v>
                </c:pt>
                <c:pt idx="72">
                  <c:v>0.29304470983095299</c:v>
                </c:pt>
                <c:pt idx="73">
                  <c:v>0.37446278775743802</c:v>
                </c:pt>
                <c:pt idx="74">
                  <c:v>0.46563374478451303</c:v>
                </c:pt>
                <c:pt idx="75">
                  <c:v>0.43882399133430899</c:v>
                </c:pt>
                <c:pt idx="76">
                  <c:v>0.36398176291793299</c:v>
                </c:pt>
                <c:pt idx="77">
                  <c:v>0.43710871561724501</c:v>
                </c:pt>
                <c:pt idx="78">
                  <c:v>0.43710644994029602</c:v>
                </c:pt>
                <c:pt idx="79">
                  <c:v>0.48676640792696502</c:v>
                </c:pt>
                <c:pt idx="80">
                  <c:v>0.52503708030623397</c:v>
                </c:pt>
                <c:pt idx="81">
                  <c:v>0.42633911925664397</c:v>
                </c:pt>
                <c:pt idx="82">
                  <c:v>0.48910228720143001</c:v>
                </c:pt>
                <c:pt idx="83">
                  <c:v>0</c:v>
                </c:pt>
                <c:pt idx="84">
                  <c:v>0</c:v>
                </c:pt>
                <c:pt idx="85">
                  <c:v>0.45562013559346604</c:v>
                </c:pt>
                <c:pt idx="86">
                  <c:v>0.49681769313574103</c:v>
                </c:pt>
                <c:pt idx="87">
                  <c:v>0.49829942125606302</c:v>
                </c:pt>
                <c:pt idx="88">
                  <c:v>0.48283012284117999</c:v>
                </c:pt>
                <c:pt idx="89">
                  <c:v>0.502080921364498</c:v>
                </c:pt>
                <c:pt idx="90">
                  <c:v>0.49152893688976201</c:v>
                </c:pt>
              </c:numCache>
            </c:numRef>
          </c:val>
        </c:ser>
        <c:ser>
          <c:idx val="6"/>
          <c:order val="4"/>
          <c:tx>
            <c:strRef>
              <c:f>'ESXDATA-&lt;esx&gt;'!$O$301</c:f>
              <c:strCache>
                <c:ptCount val="1"/>
                <c:pt idx="0">
                  <c:v> Transmit Ratio(%)</c:v>
                </c:pt>
              </c:strCache>
            </c:strRef>
          </c:tx>
          <c:spPr>
            <a:solidFill>
              <a:srgbClr val="9BBB59">
                <a:lumMod val="60000"/>
                <a:lumOff val="40000"/>
                <a:alpha val="50000"/>
              </a:srgbClr>
            </a:solidFill>
            <a:ln w="22225">
              <a:noFill/>
            </a:ln>
          </c:spPr>
          <c:val>
            <c:numRef>
              <c:f>'ESXDATA-&lt;esx&gt;'!$O$302:$O$393</c:f>
              <c:numCache>
                <c:formatCode>General</c:formatCode>
                <c:ptCount val="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0.49992245913403299</c:v>
                </c:pt>
                <c:pt idx="61">
                  <c:v>0.51212525658628105</c:v>
                </c:pt>
                <c:pt idx="62">
                  <c:v>0.57324707659822804</c:v>
                </c:pt>
                <c:pt idx="63">
                  <c:v>0.52275786913368993</c:v>
                </c:pt>
                <c:pt idx="64">
                  <c:v>0.47247845851808101</c:v>
                </c:pt>
                <c:pt idx="65">
                  <c:v>0.56834277006216505</c:v>
                </c:pt>
                <c:pt idx="66">
                  <c:v>0.36395760190336901</c:v>
                </c:pt>
                <c:pt idx="67">
                  <c:v>0.64873208852032904</c:v>
                </c:pt>
                <c:pt idx="68">
                  <c:v>0.71040151069246504</c:v>
                </c:pt>
                <c:pt idx="69">
                  <c:v>0.75754559656468601</c:v>
                </c:pt>
                <c:pt idx="70">
                  <c:v>0.75587165560714897</c:v>
                </c:pt>
                <c:pt idx="71">
                  <c:v>0.73178000098324303</c:v>
                </c:pt>
                <c:pt idx="72">
                  <c:v>0.70695529016904701</c:v>
                </c:pt>
                <c:pt idx="73">
                  <c:v>0.62553721224256198</c:v>
                </c:pt>
                <c:pt idx="74">
                  <c:v>0.53436625521548697</c:v>
                </c:pt>
                <c:pt idx="75">
                  <c:v>0.56117600866569095</c:v>
                </c:pt>
                <c:pt idx="76">
                  <c:v>0.63601823708206706</c:v>
                </c:pt>
                <c:pt idx="77">
                  <c:v>0.56289128438275493</c:v>
                </c:pt>
                <c:pt idx="78">
                  <c:v>0.56289355005970398</c:v>
                </c:pt>
                <c:pt idx="79">
                  <c:v>0.51323359207303498</c:v>
                </c:pt>
                <c:pt idx="80">
                  <c:v>0.47496291969376597</c:v>
                </c:pt>
                <c:pt idx="81">
                  <c:v>0.57366088074335597</c:v>
                </c:pt>
                <c:pt idx="82">
                  <c:v>0.51089771279856999</c:v>
                </c:pt>
                <c:pt idx="83">
                  <c:v>0</c:v>
                </c:pt>
                <c:pt idx="84">
                  <c:v>0</c:v>
                </c:pt>
                <c:pt idx="85">
                  <c:v>0.54437986440653396</c:v>
                </c:pt>
                <c:pt idx="86">
                  <c:v>0.50318230686425902</c:v>
                </c:pt>
                <c:pt idx="87">
                  <c:v>0.50170057874393703</c:v>
                </c:pt>
                <c:pt idx="88">
                  <c:v>0.51716987715882001</c:v>
                </c:pt>
                <c:pt idx="89">
                  <c:v>0.497919078635502</c:v>
                </c:pt>
                <c:pt idx="90">
                  <c:v>0.50847106311023804</c:v>
                </c:pt>
              </c:numCache>
            </c:numRef>
          </c:val>
        </c:ser>
        <c:gapWidth val="0"/>
        <c:overlap val="100"/>
        <c:axId val="108414464"/>
        <c:axId val="108391808"/>
      </c:barChart>
      <c:lineChart>
        <c:grouping val="standard"/>
        <c:ser>
          <c:idx val="1"/>
          <c:order val="0"/>
          <c:tx>
            <c:strRef>
              <c:f>'ESXDATA-&lt;esx&gt;'!$C$301</c:f>
              <c:strCache>
                <c:ptCount val="1"/>
                <c:pt idx="0">
                  <c:v>Network Usage Avg(Mbps)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cat>
            <c:numRef>
              <c:f>'ESXDATA-&lt;esx&gt;'!$B$302:$B$393</c:f>
              <c:numCache>
                <c:formatCode>yyyy/mm/dd</c:formatCode>
                <c:ptCount val="92"/>
                <c:pt idx="0">
                  <c:v>40349</c:v>
                </c:pt>
                <c:pt idx="1">
                  <c:v>40350</c:v>
                </c:pt>
                <c:pt idx="2">
                  <c:v>40351</c:v>
                </c:pt>
                <c:pt idx="3">
                  <c:v>40352</c:v>
                </c:pt>
                <c:pt idx="4">
                  <c:v>40353</c:v>
                </c:pt>
                <c:pt idx="5">
                  <c:v>40354</c:v>
                </c:pt>
                <c:pt idx="6">
                  <c:v>40355</c:v>
                </c:pt>
                <c:pt idx="7">
                  <c:v>40356</c:v>
                </c:pt>
                <c:pt idx="8">
                  <c:v>40357</c:v>
                </c:pt>
                <c:pt idx="9">
                  <c:v>40358</c:v>
                </c:pt>
                <c:pt idx="10">
                  <c:v>40359</c:v>
                </c:pt>
                <c:pt idx="11">
                  <c:v>40360</c:v>
                </c:pt>
                <c:pt idx="12">
                  <c:v>40361</c:v>
                </c:pt>
                <c:pt idx="13">
                  <c:v>40362</c:v>
                </c:pt>
                <c:pt idx="14">
                  <c:v>40363</c:v>
                </c:pt>
                <c:pt idx="15">
                  <c:v>40364</c:v>
                </c:pt>
                <c:pt idx="16">
                  <c:v>40365</c:v>
                </c:pt>
                <c:pt idx="17">
                  <c:v>40366</c:v>
                </c:pt>
                <c:pt idx="18">
                  <c:v>40367</c:v>
                </c:pt>
                <c:pt idx="19">
                  <c:v>40368</c:v>
                </c:pt>
                <c:pt idx="20">
                  <c:v>40369</c:v>
                </c:pt>
                <c:pt idx="21">
                  <c:v>40370</c:v>
                </c:pt>
                <c:pt idx="22">
                  <c:v>40371</c:v>
                </c:pt>
                <c:pt idx="23">
                  <c:v>40372</c:v>
                </c:pt>
                <c:pt idx="24">
                  <c:v>40373</c:v>
                </c:pt>
                <c:pt idx="25">
                  <c:v>40374</c:v>
                </c:pt>
                <c:pt idx="26">
                  <c:v>40375</c:v>
                </c:pt>
                <c:pt idx="27">
                  <c:v>40376</c:v>
                </c:pt>
                <c:pt idx="28">
                  <c:v>40377</c:v>
                </c:pt>
                <c:pt idx="29">
                  <c:v>40378</c:v>
                </c:pt>
                <c:pt idx="30">
                  <c:v>40379</c:v>
                </c:pt>
                <c:pt idx="31">
                  <c:v>40380</c:v>
                </c:pt>
                <c:pt idx="32">
                  <c:v>40381</c:v>
                </c:pt>
                <c:pt idx="33">
                  <c:v>40382</c:v>
                </c:pt>
                <c:pt idx="34">
                  <c:v>40383</c:v>
                </c:pt>
                <c:pt idx="35">
                  <c:v>40384</c:v>
                </c:pt>
                <c:pt idx="36">
                  <c:v>40385</c:v>
                </c:pt>
                <c:pt idx="37">
                  <c:v>40386</c:v>
                </c:pt>
                <c:pt idx="38">
                  <c:v>40387</c:v>
                </c:pt>
                <c:pt idx="39">
                  <c:v>40388</c:v>
                </c:pt>
                <c:pt idx="40">
                  <c:v>40389</c:v>
                </c:pt>
                <c:pt idx="41">
                  <c:v>40390</c:v>
                </c:pt>
                <c:pt idx="42">
                  <c:v>40391</c:v>
                </c:pt>
                <c:pt idx="43">
                  <c:v>40392</c:v>
                </c:pt>
                <c:pt idx="44">
                  <c:v>40393</c:v>
                </c:pt>
                <c:pt idx="45">
                  <c:v>40394</c:v>
                </c:pt>
                <c:pt idx="46">
                  <c:v>40395</c:v>
                </c:pt>
                <c:pt idx="47">
                  <c:v>40396</c:v>
                </c:pt>
                <c:pt idx="48">
                  <c:v>40397</c:v>
                </c:pt>
                <c:pt idx="49">
                  <c:v>40398</c:v>
                </c:pt>
                <c:pt idx="50">
                  <c:v>40399</c:v>
                </c:pt>
                <c:pt idx="51">
                  <c:v>40400</c:v>
                </c:pt>
                <c:pt idx="52">
                  <c:v>40401</c:v>
                </c:pt>
                <c:pt idx="53">
                  <c:v>40402</c:v>
                </c:pt>
                <c:pt idx="54">
                  <c:v>40403</c:v>
                </c:pt>
                <c:pt idx="55">
                  <c:v>40404</c:v>
                </c:pt>
                <c:pt idx="56">
                  <c:v>40405</c:v>
                </c:pt>
                <c:pt idx="57">
                  <c:v>40406</c:v>
                </c:pt>
                <c:pt idx="58">
                  <c:v>40407</c:v>
                </c:pt>
                <c:pt idx="59">
                  <c:v>40408</c:v>
                </c:pt>
                <c:pt idx="60">
                  <c:v>40409</c:v>
                </c:pt>
                <c:pt idx="61">
                  <c:v>40410</c:v>
                </c:pt>
                <c:pt idx="62">
                  <c:v>40411</c:v>
                </c:pt>
                <c:pt idx="63">
                  <c:v>40412</c:v>
                </c:pt>
                <c:pt idx="64">
                  <c:v>40413</c:v>
                </c:pt>
                <c:pt idx="65">
                  <c:v>40414</c:v>
                </c:pt>
                <c:pt idx="66">
                  <c:v>40415</c:v>
                </c:pt>
                <c:pt idx="67">
                  <c:v>40416</c:v>
                </c:pt>
                <c:pt idx="68">
                  <c:v>40417</c:v>
                </c:pt>
                <c:pt idx="69">
                  <c:v>40418</c:v>
                </c:pt>
                <c:pt idx="70">
                  <c:v>40419</c:v>
                </c:pt>
                <c:pt idx="71">
                  <c:v>40420</c:v>
                </c:pt>
                <c:pt idx="72">
                  <c:v>40421</c:v>
                </c:pt>
                <c:pt idx="73">
                  <c:v>40422</c:v>
                </c:pt>
                <c:pt idx="74">
                  <c:v>40423</c:v>
                </c:pt>
                <c:pt idx="75">
                  <c:v>40424</c:v>
                </c:pt>
                <c:pt idx="76">
                  <c:v>40425</c:v>
                </c:pt>
                <c:pt idx="77">
                  <c:v>40426</c:v>
                </c:pt>
                <c:pt idx="78">
                  <c:v>40427</c:v>
                </c:pt>
                <c:pt idx="79">
                  <c:v>40428</c:v>
                </c:pt>
                <c:pt idx="80">
                  <c:v>40429</c:v>
                </c:pt>
                <c:pt idx="81">
                  <c:v>40430</c:v>
                </c:pt>
                <c:pt idx="82">
                  <c:v>40431</c:v>
                </c:pt>
                <c:pt idx="83">
                  <c:v>40432</c:v>
                </c:pt>
                <c:pt idx="84">
                  <c:v>40433</c:v>
                </c:pt>
                <c:pt idx="85">
                  <c:v>40434</c:v>
                </c:pt>
                <c:pt idx="86">
                  <c:v>40435</c:v>
                </c:pt>
                <c:pt idx="87">
                  <c:v>40436</c:v>
                </c:pt>
                <c:pt idx="88">
                  <c:v>40437</c:v>
                </c:pt>
                <c:pt idx="89">
                  <c:v>40438</c:v>
                </c:pt>
                <c:pt idx="90">
                  <c:v>40439</c:v>
                </c:pt>
                <c:pt idx="91">
                  <c:v>40440</c:v>
                </c:pt>
              </c:numCache>
            </c:numRef>
          </c:cat>
          <c:val>
            <c:numRef>
              <c:f>'ESXDATA-&lt;esx&gt;'!$C$302:$C$393</c:f>
              <c:numCache>
                <c:formatCode>General</c:formatCode>
                <c:ptCount val="92"/>
                <c:pt idx="60">
                  <c:v>0.966796875</c:v>
                </c:pt>
                <c:pt idx="61">
                  <c:v>0.42938703298568698</c:v>
                </c:pt>
                <c:pt idx="62">
                  <c:v>0.384314894676209</c:v>
                </c:pt>
                <c:pt idx="63">
                  <c:v>0.2880859375</c:v>
                </c:pt>
                <c:pt idx="64">
                  <c:v>0.78981369733810403</c:v>
                </c:pt>
                <c:pt idx="65">
                  <c:v>0.227764427661896</c:v>
                </c:pt>
                <c:pt idx="66">
                  <c:v>0.68081432580947898</c:v>
                </c:pt>
                <c:pt idx="67">
                  <c:v>0.35719650983810403</c:v>
                </c:pt>
                <c:pt idx="68">
                  <c:v>0.259314894676209</c:v>
                </c:pt>
                <c:pt idx="69">
                  <c:v>0.24737079441547399</c:v>
                </c:pt>
                <c:pt idx="70">
                  <c:v>0.24759615957737</c:v>
                </c:pt>
                <c:pt idx="71">
                  <c:v>0.30603966116905201</c:v>
                </c:pt>
                <c:pt idx="72">
                  <c:v>0.3828125</c:v>
                </c:pt>
                <c:pt idx="73">
                  <c:v>0.72190505266189597</c:v>
                </c:pt>
                <c:pt idx="74">
                  <c:v>0.68727463483810403</c:v>
                </c:pt>
                <c:pt idx="75">
                  <c:v>0.62094348669052102</c:v>
                </c:pt>
                <c:pt idx="76">
                  <c:v>0.322791457176209</c:v>
                </c:pt>
                <c:pt idx="77">
                  <c:v>0.28725960850715598</c:v>
                </c:pt>
                <c:pt idx="78">
                  <c:v>0.55626499652862504</c:v>
                </c:pt>
                <c:pt idx="79">
                  <c:v>1.0127704143524201</c:v>
                </c:pt>
                <c:pt idx="80">
                  <c:v>1.71855473518372</c:v>
                </c:pt>
                <c:pt idx="81">
                  <c:v>0.91180419921875</c:v>
                </c:pt>
                <c:pt idx="82">
                  <c:v>1.2594970464706401</c:v>
                </c:pt>
                <c:pt idx="85">
                  <c:v>1.0284765958786</c:v>
                </c:pt>
                <c:pt idx="86">
                  <c:v>1.3898721933364899</c:v>
                </c:pt>
                <c:pt idx="87">
                  <c:v>0.68111163377761796</c:v>
                </c:pt>
                <c:pt idx="88">
                  <c:v>1.08514404296875</c:v>
                </c:pt>
                <c:pt idx="89">
                  <c:v>1.0400390625</c:v>
                </c:pt>
                <c:pt idx="90">
                  <c:v>0.68585205078125</c:v>
                </c:pt>
                <c:pt idx="91">
                  <c:v>0.4580078125</c:v>
                </c:pt>
              </c:numCache>
            </c:numRef>
          </c:val>
        </c:ser>
        <c:marker val="1"/>
        <c:axId val="108370176"/>
        <c:axId val="108389888"/>
      </c:lineChart>
      <c:catAx>
        <c:axId val="108370176"/>
        <c:scaling>
          <c:orientation val="minMax"/>
        </c:scaling>
        <c:axPos val="b"/>
        <c:majorGridlines>
          <c:spPr>
            <a:ln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ja-JP" sz="1000" b="1" i="0" u="none" strike="noStrike" baseline="0"/>
                  <a:t>直近</a:t>
                </a:r>
                <a:r>
                  <a:rPr lang="en-US" altLang="ja-JP" sz="1000" b="1" i="0" u="none" strike="noStrike" baseline="0"/>
                  <a:t>3</a:t>
                </a:r>
                <a:r>
                  <a:rPr lang="ja-JP" altLang="ja-JP" sz="1000" b="1" i="0" u="none" strike="noStrike" baseline="0"/>
                  <a:t>ヶ月間 </a:t>
                </a:r>
                <a:r>
                  <a:rPr lang="en-US" altLang="ja-JP" sz="1000" b="1" i="0" u="none" strike="noStrike" baseline="0"/>
                  <a:t>-30</a:t>
                </a:r>
                <a:r>
                  <a:rPr lang="ja-JP" altLang="en-US" sz="1000" b="1" i="0" u="none" strike="noStrike" baseline="0"/>
                  <a:t>分</a:t>
                </a:r>
                <a:r>
                  <a:rPr lang="ja-JP" altLang="ja-JP" sz="1000" b="1" i="0" u="none" strike="noStrike" baseline="0"/>
                  <a:t>平均</a:t>
                </a:r>
                <a:r>
                  <a:rPr lang="en-US" altLang="ja-JP" sz="1000" b="1" i="0" u="none" strike="noStrike" baseline="0"/>
                  <a:t>-</a:t>
                </a:r>
                <a:r>
                  <a:rPr lang="ja-JP" altLang="ja-JP" sz="1000" b="1" i="0" u="none" strike="noStrike" baseline="0"/>
                  <a:t> </a:t>
                </a:r>
                <a:endParaRPr lang="ja-JP" altLang="en-US">
                  <a:latin typeface="Arial" pitchFamily="34" charset="0"/>
                  <a:cs typeface="Arial" pitchFamily="34" charset="0"/>
                </a:endParaRPr>
              </a:p>
            </c:rich>
          </c:tx>
          <c:layout/>
        </c:title>
        <c:numFmt formatCode="yyyy/mm/dd" sourceLinked="1"/>
        <c:tickLblPos val="nextTo"/>
        <c:crossAx val="108389888"/>
        <c:crosses val="autoZero"/>
        <c:auto val="1"/>
        <c:lblAlgn val="ctr"/>
        <c:lblOffset val="100"/>
        <c:tickLblSkip val="7"/>
        <c:tickMarkSkip val="7"/>
      </c:catAx>
      <c:valAx>
        <c:axId val="108389888"/>
        <c:scaling>
          <c:orientation val="minMax"/>
          <c:max val="25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ja-JP" altLang="en-US"/>
                  <a:t>ネットワーク転送速度 </a:t>
                </a:r>
                <a:r>
                  <a:rPr lang="en-US" altLang="ja-JP"/>
                  <a:t>[</a:t>
                </a:r>
                <a:r>
                  <a:rPr lang="ja-JP" altLang="en-US"/>
                  <a:t>平均</a:t>
                </a:r>
                <a:r>
                  <a:rPr lang="en-US" altLang="ja-JP"/>
                  <a:t>/</a:t>
                </a:r>
                <a:r>
                  <a:rPr lang="ja-JP" altLang="en-US"/>
                  <a:t>最大</a:t>
                </a:r>
                <a:r>
                  <a:rPr lang="en-US" altLang="ja-JP"/>
                  <a:t>/</a:t>
                </a:r>
                <a:r>
                  <a:rPr lang="ja-JP" altLang="en-US"/>
                  <a:t>最小</a:t>
                </a:r>
                <a:r>
                  <a:rPr lang="en-US" altLang="ja-JP"/>
                  <a:t>]</a:t>
                </a:r>
                <a:r>
                  <a:rPr lang="ja-JP" altLang="en-US"/>
                  <a:t> </a:t>
                </a:r>
                <a:r>
                  <a:rPr lang="en-US" altLang="ja-JP"/>
                  <a:t>(Mbps)</a:t>
                </a:r>
                <a:endParaRPr lang="ja-JP" altLang="en-US"/>
              </a:p>
            </c:rich>
          </c:tx>
          <c:layout/>
        </c:title>
        <c:numFmt formatCode="General" sourceLinked="1"/>
        <c:tickLblPos val="nextTo"/>
        <c:crossAx val="108370176"/>
        <c:crosses val="autoZero"/>
        <c:crossBetween val="between"/>
      </c:valAx>
      <c:valAx>
        <c:axId val="108391808"/>
        <c:scaling>
          <c:orientation val="minMax"/>
          <c:max val="1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/>
                  <a:t>Recieve/</a:t>
                </a:r>
                <a:r>
                  <a:rPr lang="ja-JP" altLang="en-US" baseline="0"/>
                  <a:t> </a:t>
                </a:r>
                <a:r>
                  <a:rPr lang="en-US" altLang="ja-JP" baseline="0"/>
                  <a:t>Transmit</a:t>
                </a:r>
                <a:r>
                  <a:rPr lang="ja-JP" altLang="en-US"/>
                  <a:t> 比率 </a:t>
                </a:r>
                <a:r>
                  <a:rPr lang="en-US" altLang="ja-JP"/>
                  <a:t>(%)</a:t>
                </a:r>
                <a:endParaRPr lang="ja-JP" altLang="en-US"/>
              </a:p>
            </c:rich>
          </c:tx>
          <c:layout/>
        </c:title>
        <c:numFmt formatCode="General" sourceLinked="1"/>
        <c:tickLblPos val="nextTo"/>
        <c:crossAx val="108414464"/>
        <c:crosses val="max"/>
        <c:crossBetween val="between"/>
      </c:valAx>
      <c:catAx>
        <c:axId val="108414464"/>
        <c:scaling>
          <c:orientation val="minMax"/>
        </c:scaling>
        <c:delete val="1"/>
        <c:axPos val="b"/>
        <c:tickLblPos val="none"/>
        <c:crossAx val="108391808"/>
        <c:crosses val="autoZero"/>
        <c:auto val="1"/>
        <c:lblAlgn val="ctr"/>
        <c:lblOffset val="100"/>
      </c:catAx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82569979147863948"/>
          <c:y val="0.65959007788600088"/>
          <c:w val="0.16308304544935839"/>
          <c:h val="0.17754488120927525"/>
        </c:manualLayout>
      </c:layout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900"/>
          </a:pPr>
          <a:endParaRPr lang="ja-JP"/>
        </a:p>
      </c:txPr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20</xdr:col>
      <xdr:colOff>466725</xdr:colOff>
      <xdr:row>37</xdr:row>
      <xdr:rowOff>34738</xdr:rowOff>
    </xdr:to>
    <xdr:graphicFrame macro="">
      <xdr:nvGraphicFramePr>
        <xdr:cNvPr id="2" name="CPUME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581479</xdr:colOff>
      <xdr:row>111</xdr:row>
      <xdr:rowOff>64521</xdr:rowOff>
    </xdr:from>
    <xdr:to>
      <xdr:col>13</xdr:col>
      <xdr:colOff>571160</xdr:colOff>
      <xdr:row>134</xdr:row>
      <xdr:rowOff>94682</xdr:rowOff>
    </xdr:to>
    <xdr:graphicFrame macro="">
      <xdr:nvGraphicFramePr>
        <xdr:cNvPr id="3" name="CPU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80736</xdr:colOff>
      <xdr:row>110</xdr:row>
      <xdr:rowOff>175986</xdr:rowOff>
    </xdr:from>
    <xdr:to>
      <xdr:col>27</xdr:col>
      <xdr:colOff>77561</xdr:colOff>
      <xdr:row>134</xdr:row>
      <xdr:rowOff>30843</xdr:rowOff>
    </xdr:to>
    <xdr:graphicFrame macro="">
      <xdr:nvGraphicFramePr>
        <xdr:cNvPr id="4" name="Memor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600188</xdr:colOff>
      <xdr:row>135</xdr:row>
      <xdr:rowOff>156027</xdr:rowOff>
    </xdr:from>
    <xdr:to>
      <xdr:col>13</xdr:col>
      <xdr:colOff>589869</xdr:colOff>
      <xdr:row>160</xdr:row>
      <xdr:rowOff>175078</xdr:rowOff>
    </xdr:to>
    <xdr:graphicFrame macro="">
      <xdr:nvGraphicFramePr>
        <xdr:cNvPr id="5" name="CPU Breakdow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15308</xdr:colOff>
      <xdr:row>38</xdr:row>
      <xdr:rowOff>119063</xdr:rowOff>
    </xdr:from>
    <xdr:to>
      <xdr:col>20</xdr:col>
      <xdr:colOff>482033</xdr:colOff>
      <xdr:row>73</xdr:row>
      <xdr:rowOff>153801</xdr:rowOff>
    </xdr:to>
    <xdr:graphicFrame macro="">
      <xdr:nvGraphicFramePr>
        <xdr:cNvPr id="7" name="MEMV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13608</xdr:colOff>
      <xdr:row>74</xdr:row>
      <xdr:rowOff>81643</xdr:rowOff>
    </xdr:from>
    <xdr:to>
      <xdr:col>20</xdr:col>
      <xdr:colOff>485435</xdr:colOff>
      <xdr:row>109</xdr:row>
      <xdr:rowOff>121144</xdr:rowOff>
    </xdr:to>
    <xdr:graphicFrame macro="">
      <xdr:nvGraphicFramePr>
        <xdr:cNvPr id="8" name="MEMPERF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381000</xdr:colOff>
      <xdr:row>110</xdr:row>
      <xdr:rowOff>163286</xdr:rowOff>
    </xdr:from>
    <xdr:to>
      <xdr:col>40</xdr:col>
      <xdr:colOff>377826</xdr:colOff>
      <xdr:row>134</xdr:row>
      <xdr:rowOff>18143</xdr:rowOff>
    </xdr:to>
    <xdr:graphicFrame macro="">
      <xdr:nvGraphicFramePr>
        <xdr:cNvPr id="9" name="Disk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20</xdr:col>
      <xdr:colOff>466725</xdr:colOff>
      <xdr:row>37</xdr:row>
      <xdr:rowOff>34738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20</xdr:col>
      <xdr:colOff>466725</xdr:colOff>
      <xdr:row>37</xdr:row>
      <xdr:rowOff>34738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20</xdr:col>
      <xdr:colOff>466725</xdr:colOff>
      <xdr:row>74</xdr:row>
      <xdr:rowOff>34738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76</xdr:row>
      <xdr:rowOff>0</xdr:rowOff>
    </xdr:from>
    <xdr:to>
      <xdr:col>20</xdr:col>
      <xdr:colOff>466725</xdr:colOff>
      <xdr:row>111</xdr:row>
      <xdr:rowOff>34738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VMware\VTILLAB-1.2\report\excel\VTIL_CapacityAnalysyis_TMPL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SOLE"/>
      <sheetName val="CONSOLE-&lt;cluster&gt;"/>
      <sheetName val="CLSTR-&lt;cluster&gt;"/>
      <sheetName val="ESX-&lt;esx&gt;"/>
      <sheetName val="ESXPERF-&lt;esx&gt;"/>
      <sheetName val="CLSTRDATA-&lt;cluster&gt;"/>
      <sheetName val="ESXDATA-&lt;esx&gt;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name="cpu_breakdown_1" connectionId="9" autoFormatId="2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em_4weeks_1" connectionId="2" autoFormatId="2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cpu_4weeks_1" connectionId="1" autoFormatId="2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cpu_memory_1" connectionId="4" autoFormatId="2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em_4weeks_2" connectionId="3" autoFormatId="2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cpu_memory_1" connectionId="5" autoFormatId="2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emory" connectionId="7" autoFormatId="2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isk" connectionId="6" autoFormatId="2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net" connectionId="8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Relationship Id="rId4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2:B4"/>
  <sheetViews>
    <sheetView tabSelected="1" workbookViewId="0">
      <selection activeCell="C21" sqref="C21"/>
    </sheetView>
  </sheetViews>
  <sheetFormatPr defaultRowHeight="13.5"/>
  <cols>
    <col min="1" max="1" width="23.85546875" bestFit="1" customWidth="1"/>
    <col min="2" max="2" width="21" bestFit="1" customWidth="1"/>
    <col min="3" max="3" width="17.85546875" bestFit="1" customWidth="1"/>
  </cols>
  <sheetData>
    <row r="2" spans="1:2">
      <c r="A2" t="s">
        <v>48</v>
      </c>
      <c r="B2" t="s">
        <v>60</v>
      </c>
    </row>
    <row r="3" spans="1:2">
      <c r="A3" t="s">
        <v>49</v>
      </c>
      <c r="B3" t="s">
        <v>51</v>
      </c>
    </row>
    <row r="4" spans="1:2">
      <c r="A4" t="s">
        <v>50</v>
      </c>
      <c r="B4" t="s">
        <v>61</v>
      </c>
    </row>
  </sheetData>
  <phoneticPr fontId="2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G17" sqref="G17"/>
    </sheetView>
  </sheetViews>
  <sheetFormatPr defaultRowHeight="13.5"/>
  <cols>
    <col min="1" max="16384" width="9.140625" style="20"/>
  </cols>
  <sheetData/>
  <phoneticPr fontId="2"/>
  <pageMargins left="0.78700000000000003" right="0.78700000000000003" top="0.98399999999999999" bottom="0.98399999999999999" header="0.51200000000000001" footer="0.51200000000000001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opLeftCell="A31" zoomScale="70" zoomScaleNormal="70" workbookViewId="0">
      <selection activeCell="X26" sqref="X26"/>
    </sheetView>
  </sheetViews>
  <sheetFormatPr defaultRowHeight="13.5"/>
  <sheetData/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topLeftCell="A3" zoomScale="70" zoomScaleNormal="70" workbookViewId="0">
      <selection activeCell="J281" sqref="J281"/>
    </sheetView>
  </sheetViews>
  <sheetFormatPr defaultRowHeight="13.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topLeftCell="A3" zoomScale="70" zoomScaleNormal="70" workbookViewId="0">
      <selection activeCell="J281" sqref="J281"/>
    </sheetView>
  </sheetViews>
  <sheetFormatPr defaultRowHeight="13.5"/>
  <sheetData/>
  <phoneticPr fontId="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A444"/>
  <sheetViews>
    <sheetView topLeftCell="H4" zoomScale="70" zoomScaleNormal="70" workbookViewId="0">
      <selection activeCell="H63" sqref="H63:H65"/>
    </sheetView>
  </sheetViews>
  <sheetFormatPr defaultRowHeight="13.5"/>
  <cols>
    <col min="1" max="1" width="4.140625" customWidth="1"/>
    <col min="2" max="2" width="12.85546875" customWidth="1"/>
    <col min="3" max="3" width="23.42578125" customWidth="1"/>
    <col min="4" max="4" width="22" customWidth="1"/>
    <col min="5" max="5" width="13" customWidth="1"/>
    <col min="6" max="6" width="18" customWidth="1"/>
    <col min="7" max="7" width="16.85546875" customWidth="1"/>
    <col min="8" max="8" width="14.5703125" customWidth="1"/>
    <col min="9" max="9" width="19.7109375" customWidth="1"/>
    <col min="10" max="10" width="18.7109375" customWidth="1"/>
    <col min="11" max="11" width="16.5703125" customWidth="1"/>
    <col min="12" max="12" width="15.28515625" customWidth="1"/>
    <col min="13" max="13" width="17.28515625" customWidth="1"/>
    <col min="14" max="14" width="15.85546875" customWidth="1"/>
    <col min="15" max="16" width="18.7109375" customWidth="1"/>
    <col min="17" max="17" width="4.140625" customWidth="1"/>
    <col min="18" max="18" width="15" style="3" bestFit="1" customWidth="1"/>
    <col min="19" max="20" width="15" style="3" customWidth="1"/>
    <col min="21" max="21" width="14.42578125" bestFit="1" customWidth="1"/>
    <col min="22" max="22" width="16.140625" bestFit="1" customWidth="1"/>
    <col min="23" max="23" width="20.7109375" customWidth="1"/>
    <col min="24" max="24" width="17.7109375" customWidth="1"/>
    <col min="25" max="25" width="16.7109375" customWidth="1"/>
    <col min="26" max="26" width="27" bestFit="1" customWidth="1"/>
    <col min="27" max="27" width="22.140625" customWidth="1"/>
  </cols>
  <sheetData>
    <row r="1" spans="1:27" ht="14.25" thickBot="1">
      <c r="A1" s="31"/>
      <c r="B1">
        <v>2</v>
      </c>
      <c r="C1">
        <f>B1+1</f>
        <v>3</v>
      </c>
      <c r="D1">
        <f>C1+1</f>
        <v>4</v>
      </c>
      <c r="E1">
        <f t="shared" ref="E1:Z1" si="0">D1+1</f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v>27</v>
      </c>
    </row>
    <row r="2" spans="1:27" s="2" customFormat="1">
      <c r="A2" s="32"/>
      <c r="B2" s="36" t="s">
        <v>4</v>
      </c>
      <c r="C2" s="21" t="s">
        <v>5</v>
      </c>
      <c r="D2" s="21" t="s">
        <v>6</v>
      </c>
      <c r="E2" s="21" t="s">
        <v>46</v>
      </c>
      <c r="F2" s="21" t="s">
        <v>47</v>
      </c>
      <c r="G2" s="21" t="s">
        <v>7</v>
      </c>
      <c r="H2" s="21" t="s">
        <v>8</v>
      </c>
      <c r="I2" s="21" t="s">
        <v>9</v>
      </c>
      <c r="J2" s="21" t="s">
        <v>10</v>
      </c>
      <c r="K2" s="21" t="s">
        <v>40</v>
      </c>
      <c r="L2" s="21" t="s">
        <v>41</v>
      </c>
      <c r="M2" s="21"/>
      <c r="N2" s="22"/>
      <c r="O2" s="13"/>
      <c r="P2" s="13"/>
      <c r="Q2" s="32"/>
      <c r="R2" s="14" t="s">
        <v>1</v>
      </c>
      <c r="S2" s="14" t="s">
        <v>44</v>
      </c>
      <c r="T2" s="14" t="s">
        <v>43</v>
      </c>
      <c r="U2" s="13" t="s">
        <v>2</v>
      </c>
      <c r="V2" s="13" t="s">
        <v>3</v>
      </c>
      <c r="W2" s="13" t="s">
        <v>39</v>
      </c>
      <c r="X2" s="13" t="s">
        <v>37</v>
      </c>
      <c r="Y2" s="13" t="s">
        <v>38</v>
      </c>
      <c r="Z2" s="2" t="s">
        <v>42</v>
      </c>
      <c r="AA2" s="2" t="str">
        <f>H2</f>
        <v>CPU Usage (%)</v>
      </c>
    </row>
    <row r="3" spans="1:27">
      <c r="A3" s="31"/>
      <c r="B3" s="23">
        <v>40361</v>
      </c>
      <c r="C3" s="24"/>
      <c r="D3" s="24"/>
      <c r="E3" s="24">
        <v>36</v>
      </c>
      <c r="F3" s="24">
        <v>74752</v>
      </c>
      <c r="G3" s="24"/>
      <c r="H3" s="24"/>
      <c r="I3" s="25"/>
      <c r="J3" s="25"/>
      <c r="K3" s="25">
        <v>1049.3994140625</v>
      </c>
      <c r="L3" s="25"/>
      <c r="M3" s="25"/>
      <c r="N3" s="26"/>
      <c r="O3" s="1"/>
      <c r="P3" s="1"/>
      <c r="Q3" s="31"/>
      <c r="R3" s="6" t="e">
        <f>(I3+J3)/1024/D3*100</f>
        <v>#DIV/0!</v>
      </c>
      <c r="S3" s="47">
        <f>AVERAGE(C3:C94)</f>
        <v>90629.312661498698</v>
      </c>
      <c r="T3" s="47">
        <f>AVERAGE(D3:D94)</f>
        <v>87187.530504379363</v>
      </c>
      <c r="U3" s="10">
        <v>70</v>
      </c>
      <c r="V3" s="10">
        <v>80</v>
      </c>
      <c r="W3">
        <f>I3/1024</f>
        <v>0</v>
      </c>
      <c r="X3">
        <f>T3*U3/100</f>
        <v>61031.27135306556</v>
      </c>
      <c r="Y3">
        <f>T3*V3/100</f>
        <v>69750.024403503485</v>
      </c>
      <c r="Z3">
        <f>W3/E3</f>
        <v>0</v>
      </c>
      <c r="AA3" t="e">
        <f>G3/C3*100</f>
        <v>#DIV/0!</v>
      </c>
    </row>
    <row r="4" spans="1:27">
      <c r="A4" s="31"/>
      <c r="B4" s="23">
        <v>40362</v>
      </c>
      <c r="C4" s="24"/>
      <c r="D4" s="24"/>
      <c r="E4" s="24">
        <v>34</v>
      </c>
      <c r="F4" s="24">
        <v>67584</v>
      </c>
      <c r="G4" s="24"/>
      <c r="H4" s="24"/>
      <c r="I4" s="25"/>
      <c r="J4" s="25"/>
      <c r="K4" s="25">
        <v>373.8251953125</v>
      </c>
      <c r="L4" s="25"/>
      <c r="M4" s="25"/>
      <c r="N4" s="26"/>
      <c r="O4" s="1"/>
      <c r="P4" s="1"/>
      <c r="Q4" s="31"/>
      <c r="R4" s="6" t="e">
        <f t="shared" ref="R4:R67" si="1">(I4+J4)/1024/D4*100</f>
        <v>#DIV/0!</v>
      </c>
      <c r="S4">
        <f>S3</f>
        <v>90629.312661498698</v>
      </c>
      <c r="T4">
        <f>T3</f>
        <v>87187.530504379363</v>
      </c>
      <c r="U4">
        <f>U3</f>
        <v>70</v>
      </c>
      <c r="V4">
        <f>V3</f>
        <v>80</v>
      </c>
      <c r="W4">
        <f t="shared" ref="W4:W67" si="2">I4/1024</f>
        <v>0</v>
      </c>
      <c r="X4">
        <f t="shared" ref="X4:X67" si="3">T4*U4/100</f>
        <v>61031.27135306556</v>
      </c>
      <c r="Y4">
        <f t="shared" ref="Y4:Y67" si="4">T4*V4/100</f>
        <v>69750.024403503485</v>
      </c>
      <c r="Z4">
        <f t="shared" ref="Z4:Z67" si="5">W4/E4</f>
        <v>0</v>
      </c>
      <c r="AA4" t="e">
        <f t="shared" ref="AA4:AA67" si="6">G4/C4*100</f>
        <v>#DIV/0!</v>
      </c>
    </row>
    <row r="5" spans="1:27">
      <c r="A5" s="31"/>
      <c r="B5" s="23">
        <v>40363</v>
      </c>
      <c r="C5" s="24"/>
      <c r="D5" s="24"/>
      <c r="E5" s="24">
        <v>34</v>
      </c>
      <c r="F5" s="24">
        <v>67584</v>
      </c>
      <c r="G5" s="24"/>
      <c r="H5" s="24"/>
      <c r="I5" s="25"/>
      <c r="J5" s="25"/>
      <c r="K5" s="25">
        <v>336.5673828125</v>
      </c>
      <c r="L5" s="25"/>
      <c r="M5" s="25"/>
      <c r="N5" s="26"/>
      <c r="O5" s="1"/>
      <c r="P5" s="1"/>
      <c r="Q5" s="31"/>
      <c r="R5" s="6" t="e">
        <f t="shared" si="1"/>
        <v>#DIV/0!</v>
      </c>
      <c r="S5">
        <f t="shared" ref="S5:S68" si="7">S4</f>
        <v>90629.312661498698</v>
      </c>
      <c r="T5">
        <f t="shared" ref="T5:T68" si="8">T4</f>
        <v>87187.530504379363</v>
      </c>
      <c r="U5">
        <f t="shared" ref="U5:U68" si="9">U4</f>
        <v>70</v>
      </c>
      <c r="V5">
        <f t="shared" ref="V5:V68" si="10">V4</f>
        <v>80</v>
      </c>
      <c r="W5">
        <f t="shared" si="2"/>
        <v>0</v>
      </c>
      <c r="X5">
        <f t="shared" si="3"/>
        <v>61031.27135306556</v>
      </c>
      <c r="Y5">
        <f t="shared" si="4"/>
        <v>69750.024403503485</v>
      </c>
      <c r="Z5">
        <f t="shared" si="5"/>
        <v>0</v>
      </c>
      <c r="AA5" t="e">
        <f t="shared" si="6"/>
        <v>#DIV/0!</v>
      </c>
    </row>
    <row r="6" spans="1:27">
      <c r="A6" s="31"/>
      <c r="B6" s="23">
        <v>40364</v>
      </c>
      <c r="C6" s="24"/>
      <c r="D6" s="24"/>
      <c r="E6" s="24">
        <v>34</v>
      </c>
      <c r="F6" s="24">
        <v>67584</v>
      </c>
      <c r="G6" s="24"/>
      <c r="H6" s="24"/>
      <c r="I6" s="25"/>
      <c r="J6" s="25"/>
      <c r="K6" s="25">
        <v>471.96484375</v>
      </c>
      <c r="L6" s="25"/>
      <c r="M6" s="25"/>
      <c r="N6" s="26"/>
      <c r="O6" s="1"/>
      <c r="P6" s="1"/>
      <c r="Q6" s="31"/>
      <c r="R6" s="6" t="e">
        <f t="shared" si="1"/>
        <v>#DIV/0!</v>
      </c>
      <c r="S6">
        <f t="shared" si="7"/>
        <v>90629.312661498698</v>
      </c>
      <c r="T6">
        <f t="shared" si="8"/>
        <v>87187.530504379363</v>
      </c>
      <c r="U6">
        <f t="shared" si="9"/>
        <v>70</v>
      </c>
      <c r="V6">
        <f t="shared" si="10"/>
        <v>80</v>
      </c>
      <c r="W6">
        <f t="shared" si="2"/>
        <v>0</v>
      </c>
      <c r="X6">
        <f t="shared" si="3"/>
        <v>61031.27135306556</v>
      </c>
      <c r="Y6">
        <f t="shared" si="4"/>
        <v>69750.024403503485</v>
      </c>
      <c r="Z6">
        <f t="shared" si="5"/>
        <v>0</v>
      </c>
      <c r="AA6" t="e">
        <f t="shared" si="6"/>
        <v>#DIV/0!</v>
      </c>
    </row>
    <row r="7" spans="1:27">
      <c r="A7" s="31"/>
      <c r="B7" s="23">
        <v>40365</v>
      </c>
      <c r="C7" s="24"/>
      <c r="D7" s="24"/>
      <c r="E7" s="24">
        <v>32</v>
      </c>
      <c r="F7" s="24">
        <v>66304</v>
      </c>
      <c r="G7" s="24"/>
      <c r="H7" s="24"/>
      <c r="I7" s="25"/>
      <c r="J7" s="25"/>
      <c r="K7" s="25">
        <v>379.3251953125</v>
      </c>
      <c r="L7" s="25"/>
      <c r="M7" s="25"/>
      <c r="N7" s="26"/>
      <c r="O7" s="1"/>
      <c r="P7" s="1"/>
      <c r="Q7" s="31"/>
      <c r="R7" s="6" t="e">
        <f t="shared" si="1"/>
        <v>#DIV/0!</v>
      </c>
      <c r="S7">
        <f t="shared" si="7"/>
        <v>90629.312661498698</v>
      </c>
      <c r="T7">
        <f t="shared" si="8"/>
        <v>87187.530504379363</v>
      </c>
      <c r="U7">
        <f t="shared" si="9"/>
        <v>70</v>
      </c>
      <c r="V7">
        <f t="shared" si="10"/>
        <v>80</v>
      </c>
      <c r="W7">
        <f t="shared" si="2"/>
        <v>0</v>
      </c>
      <c r="X7">
        <f t="shared" si="3"/>
        <v>61031.27135306556</v>
      </c>
      <c r="Y7">
        <f t="shared" si="4"/>
        <v>69750.024403503485</v>
      </c>
      <c r="Z7">
        <f t="shared" si="5"/>
        <v>0</v>
      </c>
      <c r="AA7" t="e">
        <f t="shared" si="6"/>
        <v>#DIV/0!</v>
      </c>
    </row>
    <row r="8" spans="1:27">
      <c r="A8" s="31"/>
      <c r="B8" s="23">
        <v>40366</v>
      </c>
      <c r="C8" s="24"/>
      <c r="D8" s="24"/>
      <c r="E8" s="24">
        <v>31</v>
      </c>
      <c r="F8" s="24">
        <v>65280</v>
      </c>
      <c r="G8" s="24"/>
      <c r="H8" s="24"/>
      <c r="I8" s="25"/>
      <c r="J8" s="25"/>
      <c r="K8" s="25">
        <v>365.1357421875</v>
      </c>
      <c r="L8" s="25"/>
      <c r="M8" s="25"/>
      <c r="N8" s="26"/>
      <c r="O8" s="1"/>
      <c r="P8" s="1"/>
      <c r="Q8" s="31"/>
      <c r="R8" s="6" t="e">
        <f t="shared" si="1"/>
        <v>#DIV/0!</v>
      </c>
      <c r="S8">
        <f t="shared" si="7"/>
        <v>90629.312661498698</v>
      </c>
      <c r="T8">
        <f t="shared" si="8"/>
        <v>87187.530504379363</v>
      </c>
      <c r="U8">
        <f t="shared" si="9"/>
        <v>70</v>
      </c>
      <c r="V8">
        <f t="shared" si="10"/>
        <v>80</v>
      </c>
      <c r="W8">
        <f t="shared" si="2"/>
        <v>0</v>
      </c>
      <c r="X8">
        <f t="shared" si="3"/>
        <v>61031.27135306556</v>
      </c>
      <c r="Y8">
        <f t="shared" si="4"/>
        <v>69750.024403503485</v>
      </c>
      <c r="Z8">
        <f t="shared" si="5"/>
        <v>0</v>
      </c>
      <c r="AA8" t="e">
        <f t="shared" si="6"/>
        <v>#DIV/0!</v>
      </c>
    </row>
    <row r="9" spans="1:27">
      <c r="A9" s="31"/>
      <c r="B9" s="23">
        <v>40367</v>
      </c>
      <c r="C9" s="24"/>
      <c r="D9" s="24"/>
      <c r="E9" s="24">
        <v>31</v>
      </c>
      <c r="F9" s="24">
        <v>65280</v>
      </c>
      <c r="G9" s="24"/>
      <c r="H9" s="24"/>
      <c r="I9" s="25"/>
      <c r="J9" s="25"/>
      <c r="K9" s="25">
        <v>334.912109375</v>
      </c>
      <c r="L9" s="25"/>
      <c r="M9" s="25"/>
      <c r="N9" s="26"/>
      <c r="O9" s="1"/>
      <c r="P9" s="1"/>
      <c r="Q9" s="31"/>
      <c r="R9" s="6" t="e">
        <f t="shared" si="1"/>
        <v>#DIV/0!</v>
      </c>
      <c r="S9">
        <f t="shared" si="7"/>
        <v>90629.312661498698</v>
      </c>
      <c r="T9">
        <f t="shared" si="8"/>
        <v>87187.530504379363</v>
      </c>
      <c r="U9">
        <f t="shared" si="9"/>
        <v>70</v>
      </c>
      <c r="V9">
        <f t="shared" si="10"/>
        <v>80</v>
      </c>
      <c r="W9">
        <f t="shared" si="2"/>
        <v>0</v>
      </c>
      <c r="X9">
        <f t="shared" si="3"/>
        <v>61031.27135306556</v>
      </c>
      <c r="Y9">
        <f t="shared" si="4"/>
        <v>69750.024403503485</v>
      </c>
      <c r="Z9">
        <f t="shared" si="5"/>
        <v>0</v>
      </c>
      <c r="AA9" t="e">
        <f t="shared" si="6"/>
        <v>#DIV/0!</v>
      </c>
    </row>
    <row r="10" spans="1:27">
      <c r="A10" s="31"/>
      <c r="B10" s="23">
        <v>40368</v>
      </c>
      <c r="C10" s="24"/>
      <c r="D10" s="24"/>
      <c r="E10" s="24">
        <v>31</v>
      </c>
      <c r="F10" s="24">
        <v>65280</v>
      </c>
      <c r="G10" s="24"/>
      <c r="H10" s="24"/>
      <c r="I10" s="25"/>
      <c r="J10" s="25"/>
      <c r="K10" s="25">
        <v>449.5673828125</v>
      </c>
      <c r="L10" s="25"/>
      <c r="M10" s="25"/>
      <c r="N10" s="26"/>
      <c r="O10" s="1"/>
      <c r="P10" s="1"/>
      <c r="Q10" s="31"/>
      <c r="R10" s="6" t="e">
        <f t="shared" si="1"/>
        <v>#DIV/0!</v>
      </c>
      <c r="S10">
        <f t="shared" si="7"/>
        <v>90629.312661498698</v>
      </c>
      <c r="T10">
        <f t="shared" si="8"/>
        <v>87187.530504379363</v>
      </c>
      <c r="U10">
        <f t="shared" si="9"/>
        <v>70</v>
      </c>
      <c r="V10">
        <f t="shared" si="10"/>
        <v>80</v>
      </c>
      <c r="W10">
        <f t="shared" si="2"/>
        <v>0</v>
      </c>
      <c r="X10">
        <f t="shared" si="3"/>
        <v>61031.27135306556</v>
      </c>
      <c r="Y10">
        <f t="shared" si="4"/>
        <v>69750.024403503485</v>
      </c>
      <c r="Z10">
        <f t="shared" si="5"/>
        <v>0</v>
      </c>
      <c r="AA10" t="e">
        <f t="shared" si="6"/>
        <v>#DIV/0!</v>
      </c>
    </row>
    <row r="11" spans="1:27">
      <c r="A11" s="31"/>
      <c r="B11" s="23">
        <v>40369</v>
      </c>
      <c r="C11" s="24"/>
      <c r="D11" s="24"/>
      <c r="E11" s="24">
        <v>30</v>
      </c>
      <c r="F11" s="24">
        <v>57088</v>
      </c>
      <c r="G11" s="24"/>
      <c r="H11" s="24"/>
      <c r="I11" s="25"/>
      <c r="J11" s="25"/>
      <c r="K11" s="25">
        <v>321.4833984375</v>
      </c>
      <c r="L11" s="25"/>
      <c r="M11" s="25"/>
      <c r="N11" s="26"/>
      <c r="O11" s="1"/>
      <c r="P11" s="1"/>
      <c r="Q11" s="31"/>
      <c r="R11" s="6" t="e">
        <f t="shared" si="1"/>
        <v>#DIV/0!</v>
      </c>
      <c r="S11">
        <f t="shared" si="7"/>
        <v>90629.312661498698</v>
      </c>
      <c r="T11">
        <f t="shared" si="8"/>
        <v>87187.530504379363</v>
      </c>
      <c r="U11">
        <f t="shared" si="9"/>
        <v>70</v>
      </c>
      <c r="V11">
        <f t="shared" si="10"/>
        <v>80</v>
      </c>
      <c r="W11">
        <f t="shared" si="2"/>
        <v>0</v>
      </c>
      <c r="X11">
        <f t="shared" si="3"/>
        <v>61031.27135306556</v>
      </c>
      <c r="Y11">
        <f t="shared" si="4"/>
        <v>69750.024403503485</v>
      </c>
      <c r="Z11">
        <f t="shared" si="5"/>
        <v>0</v>
      </c>
      <c r="AA11" t="e">
        <f t="shared" si="6"/>
        <v>#DIV/0!</v>
      </c>
    </row>
    <row r="12" spans="1:27">
      <c r="A12" s="31"/>
      <c r="B12" s="23">
        <v>40370</v>
      </c>
      <c r="C12" s="24"/>
      <c r="D12" s="24"/>
      <c r="E12" s="24">
        <v>30</v>
      </c>
      <c r="F12" s="24">
        <v>57088</v>
      </c>
      <c r="G12" s="24"/>
      <c r="H12" s="24"/>
      <c r="I12" s="25"/>
      <c r="J12" s="25"/>
      <c r="K12" s="25">
        <v>290.4619140625</v>
      </c>
      <c r="L12" s="25"/>
      <c r="M12" s="25"/>
      <c r="N12" s="26"/>
      <c r="O12" s="1"/>
      <c r="P12" s="1"/>
      <c r="Q12" s="31"/>
      <c r="R12" s="6" t="e">
        <f t="shared" si="1"/>
        <v>#DIV/0!</v>
      </c>
      <c r="S12">
        <f t="shared" si="7"/>
        <v>90629.312661498698</v>
      </c>
      <c r="T12">
        <f t="shared" si="8"/>
        <v>87187.530504379363</v>
      </c>
      <c r="U12">
        <f t="shared" si="9"/>
        <v>70</v>
      </c>
      <c r="V12">
        <f t="shared" si="10"/>
        <v>80</v>
      </c>
      <c r="W12">
        <f t="shared" si="2"/>
        <v>0</v>
      </c>
      <c r="X12">
        <f t="shared" si="3"/>
        <v>61031.27135306556</v>
      </c>
      <c r="Y12">
        <f t="shared" si="4"/>
        <v>69750.024403503485</v>
      </c>
      <c r="Z12">
        <f t="shared" si="5"/>
        <v>0</v>
      </c>
      <c r="AA12" t="e">
        <f t="shared" si="6"/>
        <v>#DIV/0!</v>
      </c>
    </row>
    <row r="13" spans="1:27">
      <c r="A13" s="31"/>
      <c r="B13" s="23">
        <v>40371</v>
      </c>
      <c r="C13" s="24"/>
      <c r="D13" s="24"/>
      <c r="E13" s="24">
        <v>31</v>
      </c>
      <c r="F13" s="24">
        <v>65280</v>
      </c>
      <c r="G13" s="24"/>
      <c r="H13" s="24"/>
      <c r="I13" s="25"/>
      <c r="J13" s="25"/>
      <c r="K13" s="25">
        <v>333.7939453125</v>
      </c>
      <c r="L13" s="25"/>
      <c r="M13" s="25"/>
      <c r="N13" s="26"/>
      <c r="O13" s="1"/>
      <c r="P13" s="1"/>
      <c r="Q13" s="31"/>
      <c r="R13" s="6" t="e">
        <f t="shared" si="1"/>
        <v>#DIV/0!</v>
      </c>
      <c r="S13">
        <f t="shared" si="7"/>
        <v>90629.312661498698</v>
      </c>
      <c r="T13">
        <f t="shared" si="8"/>
        <v>87187.530504379363</v>
      </c>
      <c r="U13">
        <f t="shared" si="9"/>
        <v>70</v>
      </c>
      <c r="V13">
        <f t="shared" si="10"/>
        <v>80</v>
      </c>
      <c r="W13">
        <f t="shared" si="2"/>
        <v>0</v>
      </c>
      <c r="X13">
        <f t="shared" si="3"/>
        <v>61031.27135306556</v>
      </c>
      <c r="Y13">
        <f t="shared" si="4"/>
        <v>69750.024403503485</v>
      </c>
      <c r="Z13">
        <f t="shared" si="5"/>
        <v>0</v>
      </c>
      <c r="AA13" t="e">
        <f t="shared" si="6"/>
        <v>#DIV/0!</v>
      </c>
    </row>
    <row r="14" spans="1:27">
      <c r="A14" s="31"/>
      <c r="B14" s="23">
        <v>40372</v>
      </c>
      <c r="C14" s="24"/>
      <c r="D14" s="24"/>
      <c r="E14" s="24">
        <v>31</v>
      </c>
      <c r="F14" s="24">
        <v>65280</v>
      </c>
      <c r="G14" s="24"/>
      <c r="H14" s="24"/>
      <c r="I14" s="25"/>
      <c r="J14" s="25"/>
      <c r="K14" s="25">
        <v>507.9267578125</v>
      </c>
      <c r="L14" s="25"/>
      <c r="M14" s="25"/>
      <c r="N14" s="26"/>
      <c r="O14" s="1"/>
      <c r="P14" s="1"/>
      <c r="Q14" s="31"/>
      <c r="R14" s="6" t="e">
        <f t="shared" si="1"/>
        <v>#DIV/0!</v>
      </c>
      <c r="S14">
        <f t="shared" si="7"/>
        <v>90629.312661498698</v>
      </c>
      <c r="T14">
        <f t="shared" si="8"/>
        <v>87187.530504379363</v>
      </c>
      <c r="U14">
        <f t="shared" si="9"/>
        <v>70</v>
      </c>
      <c r="V14">
        <f t="shared" si="10"/>
        <v>80</v>
      </c>
      <c r="W14">
        <f t="shared" si="2"/>
        <v>0</v>
      </c>
      <c r="X14">
        <f t="shared" si="3"/>
        <v>61031.27135306556</v>
      </c>
      <c r="Y14">
        <f t="shared" si="4"/>
        <v>69750.024403503485</v>
      </c>
      <c r="Z14">
        <f t="shared" si="5"/>
        <v>0</v>
      </c>
      <c r="AA14" t="e">
        <f t="shared" si="6"/>
        <v>#DIV/0!</v>
      </c>
    </row>
    <row r="15" spans="1:27">
      <c r="A15" s="31"/>
      <c r="B15" s="23">
        <v>40373</v>
      </c>
      <c r="C15" s="24"/>
      <c r="D15" s="24"/>
      <c r="E15" s="24">
        <v>32</v>
      </c>
      <c r="F15" s="24">
        <v>65536</v>
      </c>
      <c r="G15" s="24"/>
      <c r="H15" s="24"/>
      <c r="I15" s="25"/>
      <c r="J15" s="25"/>
      <c r="K15" s="25">
        <v>504.099609375</v>
      </c>
      <c r="L15" s="25"/>
      <c r="M15" s="25"/>
      <c r="N15" s="26"/>
      <c r="O15" s="1"/>
      <c r="P15" s="1"/>
      <c r="Q15" s="31"/>
      <c r="R15" s="6" t="e">
        <f t="shared" si="1"/>
        <v>#DIV/0!</v>
      </c>
      <c r="S15">
        <f t="shared" si="7"/>
        <v>90629.312661498698</v>
      </c>
      <c r="T15">
        <f t="shared" si="8"/>
        <v>87187.530504379363</v>
      </c>
      <c r="U15">
        <f t="shared" si="9"/>
        <v>70</v>
      </c>
      <c r="V15">
        <f t="shared" si="10"/>
        <v>80</v>
      </c>
      <c r="W15">
        <f t="shared" si="2"/>
        <v>0</v>
      </c>
      <c r="X15">
        <f t="shared" si="3"/>
        <v>61031.27135306556</v>
      </c>
      <c r="Y15">
        <f t="shared" si="4"/>
        <v>69750.024403503485</v>
      </c>
      <c r="Z15">
        <f t="shared" si="5"/>
        <v>0</v>
      </c>
      <c r="AA15" t="e">
        <f t="shared" si="6"/>
        <v>#DIV/0!</v>
      </c>
    </row>
    <row r="16" spans="1:27">
      <c r="A16" s="31"/>
      <c r="B16" s="23">
        <v>40374</v>
      </c>
      <c r="C16" s="24"/>
      <c r="D16" s="24"/>
      <c r="E16" s="24">
        <v>32</v>
      </c>
      <c r="F16" s="24">
        <v>65536</v>
      </c>
      <c r="G16" s="24"/>
      <c r="H16" s="24"/>
      <c r="I16" s="25"/>
      <c r="J16" s="25"/>
      <c r="K16" s="25">
        <v>518.5546875</v>
      </c>
      <c r="L16" s="25"/>
      <c r="M16" s="25"/>
      <c r="N16" s="26"/>
      <c r="O16" s="1"/>
      <c r="P16" s="1"/>
      <c r="Q16" s="31"/>
      <c r="R16" s="6" t="e">
        <f t="shared" si="1"/>
        <v>#DIV/0!</v>
      </c>
      <c r="S16">
        <f t="shared" si="7"/>
        <v>90629.312661498698</v>
      </c>
      <c r="T16">
        <f t="shared" si="8"/>
        <v>87187.530504379363</v>
      </c>
      <c r="U16">
        <f t="shared" si="9"/>
        <v>70</v>
      </c>
      <c r="V16">
        <f t="shared" si="10"/>
        <v>80</v>
      </c>
      <c r="W16">
        <f t="shared" si="2"/>
        <v>0</v>
      </c>
      <c r="X16">
        <f t="shared" si="3"/>
        <v>61031.27135306556</v>
      </c>
      <c r="Y16">
        <f t="shared" si="4"/>
        <v>69750.024403503485</v>
      </c>
      <c r="Z16">
        <f t="shared" si="5"/>
        <v>0</v>
      </c>
      <c r="AA16" t="e">
        <f t="shared" si="6"/>
        <v>#DIV/0!</v>
      </c>
    </row>
    <row r="17" spans="1:27">
      <c r="A17" s="31"/>
      <c r="B17" s="23">
        <v>40375</v>
      </c>
      <c r="C17" s="24"/>
      <c r="D17" s="24"/>
      <c r="E17" s="24">
        <v>33</v>
      </c>
      <c r="F17" s="24">
        <v>67328</v>
      </c>
      <c r="G17" s="24"/>
      <c r="H17" s="24"/>
      <c r="I17" s="25"/>
      <c r="J17" s="25"/>
      <c r="K17" s="25">
        <v>517.49609375</v>
      </c>
      <c r="L17" s="25"/>
      <c r="M17" s="25"/>
      <c r="N17" s="26"/>
      <c r="O17" s="1"/>
      <c r="P17" s="1"/>
      <c r="Q17" s="31"/>
      <c r="R17" s="6" t="e">
        <f t="shared" si="1"/>
        <v>#DIV/0!</v>
      </c>
      <c r="S17">
        <f t="shared" si="7"/>
        <v>90629.312661498698</v>
      </c>
      <c r="T17">
        <f t="shared" si="8"/>
        <v>87187.530504379363</v>
      </c>
      <c r="U17">
        <f t="shared" si="9"/>
        <v>70</v>
      </c>
      <c r="V17">
        <f t="shared" si="10"/>
        <v>80</v>
      </c>
      <c r="W17">
        <f t="shared" si="2"/>
        <v>0</v>
      </c>
      <c r="X17">
        <f t="shared" si="3"/>
        <v>61031.27135306556</v>
      </c>
      <c r="Y17">
        <f t="shared" si="4"/>
        <v>69750.024403503485</v>
      </c>
      <c r="Z17">
        <f t="shared" si="5"/>
        <v>0</v>
      </c>
      <c r="AA17" t="e">
        <f t="shared" si="6"/>
        <v>#DIV/0!</v>
      </c>
    </row>
    <row r="18" spans="1:27">
      <c r="A18" s="31"/>
      <c r="B18" s="23">
        <v>40376</v>
      </c>
      <c r="C18" s="24"/>
      <c r="D18" s="24"/>
      <c r="E18" s="24">
        <v>33</v>
      </c>
      <c r="F18" s="24">
        <v>67328</v>
      </c>
      <c r="G18" s="24"/>
      <c r="H18" s="24"/>
      <c r="I18" s="25"/>
      <c r="J18" s="25"/>
      <c r="K18" s="25">
        <v>518.0654296875</v>
      </c>
      <c r="L18" s="25"/>
      <c r="M18" s="25"/>
      <c r="N18" s="26"/>
      <c r="O18" s="1"/>
      <c r="P18" s="1"/>
      <c r="Q18" s="31"/>
      <c r="R18" s="6" t="e">
        <f t="shared" si="1"/>
        <v>#DIV/0!</v>
      </c>
      <c r="S18">
        <f t="shared" si="7"/>
        <v>90629.312661498698</v>
      </c>
      <c r="T18">
        <f t="shared" si="8"/>
        <v>87187.530504379363</v>
      </c>
      <c r="U18">
        <f t="shared" si="9"/>
        <v>70</v>
      </c>
      <c r="V18">
        <f t="shared" si="10"/>
        <v>80</v>
      </c>
      <c r="W18">
        <f t="shared" si="2"/>
        <v>0</v>
      </c>
      <c r="X18">
        <f t="shared" si="3"/>
        <v>61031.27135306556</v>
      </c>
      <c r="Y18">
        <f t="shared" si="4"/>
        <v>69750.024403503485</v>
      </c>
      <c r="Z18">
        <f t="shared" si="5"/>
        <v>0</v>
      </c>
      <c r="AA18" t="e">
        <f t="shared" si="6"/>
        <v>#DIV/0!</v>
      </c>
    </row>
    <row r="19" spans="1:27">
      <c r="A19" s="31"/>
      <c r="B19" s="23">
        <v>40377</v>
      </c>
      <c r="C19" s="24"/>
      <c r="D19" s="24"/>
      <c r="E19" s="24">
        <v>33</v>
      </c>
      <c r="F19" s="24">
        <v>67328</v>
      </c>
      <c r="G19" s="24"/>
      <c r="H19" s="24"/>
      <c r="I19" s="25"/>
      <c r="J19" s="25"/>
      <c r="K19" s="25">
        <v>457.4833984375</v>
      </c>
      <c r="L19" s="25"/>
      <c r="M19" s="25"/>
      <c r="N19" s="26"/>
      <c r="O19" s="1"/>
      <c r="P19" s="1"/>
      <c r="Q19" s="31"/>
      <c r="R19" s="6" t="e">
        <f t="shared" si="1"/>
        <v>#DIV/0!</v>
      </c>
      <c r="S19">
        <f t="shared" si="7"/>
        <v>90629.312661498698</v>
      </c>
      <c r="T19">
        <f t="shared" si="8"/>
        <v>87187.530504379363</v>
      </c>
      <c r="U19">
        <f t="shared" si="9"/>
        <v>70</v>
      </c>
      <c r="V19">
        <f t="shared" si="10"/>
        <v>80</v>
      </c>
      <c r="W19">
        <f t="shared" si="2"/>
        <v>0</v>
      </c>
      <c r="X19">
        <f t="shared" si="3"/>
        <v>61031.27135306556</v>
      </c>
      <c r="Y19">
        <f t="shared" si="4"/>
        <v>69750.024403503485</v>
      </c>
      <c r="Z19">
        <f t="shared" si="5"/>
        <v>0</v>
      </c>
      <c r="AA19" t="e">
        <f t="shared" si="6"/>
        <v>#DIV/0!</v>
      </c>
    </row>
    <row r="20" spans="1:27">
      <c r="A20" s="31"/>
      <c r="B20" s="23">
        <v>40378</v>
      </c>
      <c r="C20" s="24"/>
      <c r="D20" s="24"/>
      <c r="E20" s="24">
        <v>33</v>
      </c>
      <c r="F20" s="24">
        <v>67328</v>
      </c>
      <c r="G20" s="24"/>
      <c r="H20" s="24"/>
      <c r="I20" s="25"/>
      <c r="J20" s="25"/>
      <c r="K20" s="25">
        <v>483.0498046875</v>
      </c>
      <c r="L20" s="25"/>
      <c r="M20" s="25"/>
      <c r="N20" s="26"/>
      <c r="O20" s="1"/>
      <c r="P20" s="1"/>
      <c r="Q20" s="31"/>
      <c r="R20" s="6" t="e">
        <f t="shared" si="1"/>
        <v>#DIV/0!</v>
      </c>
      <c r="S20">
        <f t="shared" si="7"/>
        <v>90629.312661498698</v>
      </c>
      <c r="T20">
        <f t="shared" si="8"/>
        <v>87187.530504379363</v>
      </c>
      <c r="U20">
        <f t="shared" si="9"/>
        <v>70</v>
      </c>
      <c r="V20">
        <f t="shared" si="10"/>
        <v>80</v>
      </c>
      <c r="W20">
        <f t="shared" si="2"/>
        <v>0</v>
      </c>
      <c r="X20">
        <f t="shared" si="3"/>
        <v>61031.27135306556</v>
      </c>
      <c r="Y20">
        <f t="shared" si="4"/>
        <v>69750.024403503485</v>
      </c>
      <c r="Z20">
        <f t="shared" si="5"/>
        <v>0</v>
      </c>
      <c r="AA20" t="e">
        <f t="shared" si="6"/>
        <v>#DIV/0!</v>
      </c>
    </row>
    <row r="21" spans="1:27">
      <c r="A21" s="31"/>
      <c r="B21" s="23">
        <v>40379</v>
      </c>
      <c r="C21" s="24"/>
      <c r="D21" s="24"/>
      <c r="E21" s="24">
        <v>33</v>
      </c>
      <c r="F21" s="24">
        <v>67328</v>
      </c>
      <c r="G21" s="24"/>
      <c r="H21" s="24"/>
      <c r="I21" s="25"/>
      <c r="J21" s="25"/>
      <c r="K21" s="25">
        <v>481.6083984375</v>
      </c>
      <c r="L21" s="25"/>
      <c r="M21" s="25"/>
      <c r="N21" s="26"/>
      <c r="O21" s="1"/>
      <c r="P21" s="1"/>
      <c r="Q21" s="31"/>
      <c r="R21" s="6" t="e">
        <f t="shared" si="1"/>
        <v>#DIV/0!</v>
      </c>
      <c r="S21">
        <f t="shared" si="7"/>
        <v>90629.312661498698</v>
      </c>
      <c r="T21">
        <f t="shared" si="8"/>
        <v>87187.530504379363</v>
      </c>
      <c r="U21">
        <f t="shared" si="9"/>
        <v>70</v>
      </c>
      <c r="V21">
        <f t="shared" si="10"/>
        <v>80</v>
      </c>
      <c r="W21">
        <f t="shared" si="2"/>
        <v>0</v>
      </c>
      <c r="X21">
        <f t="shared" si="3"/>
        <v>61031.27135306556</v>
      </c>
      <c r="Y21">
        <f t="shared" si="4"/>
        <v>69750.024403503485</v>
      </c>
      <c r="Z21">
        <f t="shared" si="5"/>
        <v>0</v>
      </c>
      <c r="AA21" t="e">
        <f t="shared" si="6"/>
        <v>#DIV/0!</v>
      </c>
    </row>
    <row r="22" spans="1:27">
      <c r="A22" s="31"/>
      <c r="B22" s="23">
        <v>40380</v>
      </c>
      <c r="C22" s="24"/>
      <c r="D22" s="24"/>
      <c r="E22" s="24">
        <v>35</v>
      </c>
      <c r="F22" s="24">
        <v>71424</v>
      </c>
      <c r="G22" s="24"/>
      <c r="H22" s="24"/>
      <c r="I22" s="25"/>
      <c r="J22" s="25"/>
      <c r="K22" s="25">
        <v>448.951171875</v>
      </c>
      <c r="L22" s="25"/>
      <c r="M22" s="25"/>
      <c r="N22" s="26"/>
      <c r="O22" s="1"/>
      <c r="P22" s="1"/>
      <c r="Q22" s="31"/>
      <c r="R22" s="6" t="e">
        <f t="shared" si="1"/>
        <v>#DIV/0!</v>
      </c>
      <c r="S22">
        <f t="shared" si="7"/>
        <v>90629.312661498698</v>
      </c>
      <c r="T22">
        <f t="shared" si="8"/>
        <v>87187.530504379363</v>
      </c>
      <c r="U22">
        <f t="shared" si="9"/>
        <v>70</v>
      </c>
      <c r="V22">
        <f t="shared" si="10"/>
        <v>80</v>
      </c>
      <c r="W22">
        <f t="shared" si="2"/>
        <v>0</v>
      </c>
      <c r="X22">
        <f t="shared" si="3"/>
        <v>61031.27135306556</v>
      </c>
      <c r="Y22">
        <f t="shared" si="4"/>
        <v>69750.024403503485</v>
      </c>
      <c r="Z22">
        <f t="shared" si="5"/>
        <v>0</v>
      </c>
      <c r="AA22" t="e">
        <f t="shared" si="6"/>
        <v>#DIV/0!</v>
      </c>
    </row>
    <row r="23" spans="1:27">
      <c r="A23" s="31"/>
      <c r="B23" s="23">
        <v>40381</v>
      </c>
      <c r="C23" s="24"/>
      <c r="D23" s="24"/>
      <c r="E23" s="24">
        <v>31</v>
      </c>
      <c r="F23" s="24">
        <v>68864</v>
      </c>
      <c r="G23" s="24"/>
      <c r="H23" s="24"/>
      <c r="I23" s="25"/>
      <c r="J23" s="25"/>
      <c r="K23" s="25">
        <v>152.69140625</v>
      </c>
      <c r="L23" s="25"/>
      <c r="M23" s="25"/>
      <c r="N23" s="26"/>
      <c r="O23" s="1"/>
      <c r="P23" s="1"/>
      <c r="Q23" s="31"/>
      <c r="R23" s="6" t="e">
        <f t="shared" si="1"/>
        <v>#DIV/0!</v>
      </c>
      <c r="S23">
        <f t="shared" si="7"/>
        <v>90629.312661498698</v>
      </c>
      <c r="T23">
        <f t="shared" si="8"/>
        <v>87187.530504379363</v>
      </c>
      <c r="U23">
        <f t="shared" si="9"/>
        <v>70</v>
      </c>
      <c r="V23">
        <f t="shared" si="10"/>
        <v>80</v>
      </c>
      <c r="W23">
        <f t="shared" si="2"/>
        <v>0</v>
      </c>
      <c r="X23">
        <f t="shared" si="3"/>
        <v>61031.27135306556</v>
      </c>
      <c r="Y23">
        <f t="shared" si="4"/>
        <v>69750.024403503485</v>
      </c>
      <c r="Z23">
        <f t="shared" si="5"/>
        <v>0</v>
      </c>
      <c r="AA23" t="e">
        <f t="shared" si="6"/>
        <v>#DIV/0!</v>
      </c>
    </row>
    <row r="24" spans="1:27">
      <c r="A24" s="31"/>
      <c r="B24" s="23">
        <v>40382</v>
      </c>
      <c r="C24" s="24"/>
      <c r="D24" s="24"/>
      <c r="E24" s="24">
        <v>32</v>
      </c>
      <c r="F24" s="24">
        <v>70912</v>
      </c>
      <c r="G24" s="24"/>
      <c r="H24" s="24"/>
      <c r="I24" s="25"/>
      <c r="J24" s="25"/>
      <c r="K24" s="25">
        <v>1851.5703125</v>
      </c>
      <c r="L24" s="25"/>
      <c r="M24" s="25"/>
      <c r="N24" s="26"/>
      <c r="O24" s="1"/>
      <c r="P24" s="1"/>
      <c r="Q24" s="31"/>
      <c r="R24" s="6" t="e">
        <f t="shared" si="1"/>
        <v>#DIV/0!</v>
      </c>
      <c r="S24">
        <f t="shared" si="7"/>
        <v>90629.312661498698</v>
      </c>
      <c r="T24">
        <f t="shared" si="8"/>
        <v>87187.530504379363</v>
      </c>
      <c r="U24">
        <f t="shared" si="9"/>
        <v>70</v>
      </c>
      <c r="V24">
        <f t="shared" si="10"/>
        <v>80</v>
      </c>
      <c r="W24">
        <f t="shared" si="2"/>
        <v>0</v>
      </c>
      <c r="X24">
        <f t="shared" si="3"/>
        <v>61031.27135306556</v>
      </c>
      <c r="Y24">
        <f t="shared" si="4"/>
        <v>69750.024403503485</v>
      </c>
      <c r="Z24">
        <f t="shared" si="5"/>
        <v>0</v>
      </c>
      <c r="AA24" t="e">
        <f t="shared" si="6"/>
        <v>#DIV/0!</v>
      </c>
    </row>
    <row r="25" spans="1:27">
      <c r="A25" s="31"/>
      <c r="B25" s="23">
        <v>40383</v>
      </c>
      <c r="C25" s="24"/>
      <c r="D25" s="24"/>
      <c r="E25" s="24">
        <v>32</v>
      </c>
      <c r="F25" s="24">
        <v>70912</v>
      </c>
      <c r="G25" s="24"/>
      <c r="H25" s="24"/>
      <c r="I25" s="25"/>
      <c r="J25" s="25"/>
      <c r="K25" s="25">
        <v>1792.671875</v>
      </c>
      <c r="L25" s="25"/>
      <c r="M25" s="25"/>
      <c r="N25" s="26"/>
      <c r="O25" s="1"/>
      <c r="P25" s="1"/>
      <c r="Q25" s="31"/>
      <c r="R25" s="6" t="e">
        <f t="shared" si="1"/>
        <v>#DIV/0!</v>
      </c>
      <c r="S25">
        <f t="shared" si="7"/>
        <v>90629.312661498698</v>
      </c>
      <c r="T25">
        <f t="shared" si="8"/>
        <v>87187.530504379363</v>
      </c>
      <c r="U25">
        <f t="shared" si="9"/>
        <v>70</v>
      </c>
      <c r="V25">
        <f t="shared" si="10"/>
        <v>80</v>
      </c>
      <c r="W25">
        <f t="shared" si="2"/>
        <v>0</v>
      </c>
      <c r="X25">
        <f t="shared" si="3"/>
        <v>61031.27135306556</v>
      </c>
      <c r="Y25">
        <f t="shared" si="4"/>
        <v>69750.024403503485</v>
      </c>
      <c r="Z25">
        <f t="shared" si="5"/>
        <v>0</v>
      </c>
      <c r="AA25" t="e">
        <f t="shared" si="6"/>
        <v>#DIV/0!</v>
      </c>
    </row>
    <row r="26" spans="1:27">
      <c r="A26" s="31"/>
      <c r="B26" s="23">
        <v>40384</v>
      </c>
      <c r="C26" s="24"/>
      <c r="D26" s="24"/>
      <c r="E26" s="24">
        <v>32</v>
      </c>
      <c r="F26" s="24">
        <v>70912</v>
      </c>
      <c r="G26" s="24"/>
      <c r="H26" s="24"/>
      <c r="I26" s="25"/>
      <c r="J26" s="25"/>
      <c r="K26" s="25">
        <v>1792.671875</v>
      </c>
      <c r="L26" s="25"/>
      <c r="M26" s="25"/>
      <c r="N26" s="26"/>
      <c r="O26" s="1"/>
      <c r="P26" s="1"/>
      <c r="Q26" s="31"/>
      <c r="R26" s="6" t="e">
        <f t="shared" si="1"/>
        <v>#DIV/0!</v>
      </c>
      <c r="S26">
        <f t="shared" si="7"/>
        <v>90629.312661498698</v>
      </c>
      <c r="T26">
        <f t="shared" si="8"/>
        <v>87187.530504379363</v>
      </c>
      <c r="U26">
        <f t="shared" si="9"/>
        <v>70</v>
      </c>
      <c r="V26">
        <f t="shared" si="10"/>
        <v>80</v>
      </c>
      <c r="W26">
        <f t="shared" si="2"/>
        <v>0</v>
      </c>
      <c r="X26">
        <f t="shared" si="3"/>
        <v>61031.27135306556</v>
      </c>
      <c r="Y26">
        <f t="shared" si="4"/>
        <v>69750.024403503485</v>
      </c>
      <c r="Z26">
        <f t="shared" si="5"/>
        <v>0</v>
      </c>
      <c r="AA26" t="e">
        <f t="shared" si="6"/>
        <v>#DIV/0!</v>
      </c>
    </row>
    <row r="27" spans="1:27">
      <c r="A27" s="31"/>
      <c r="B27" s="23">
        <v>40385</v>
      </c>
      <c r="C27" s="24"/>
      <c r="D27" s="24"/>
      <c r="E27" s="24">
        <v>34</v>
      </c>
      <c r="F27" s="24">
        <v>72448</v>
      </c>
      <c r="G27" s="24"/>
      <c r="H27" s="24"/>
      <c r="I27" s="25"/>
      <c r="J27" s="25"/>
      <c r="K27" s="25">
        <v>2586.3193359375</v>
      </c>
      <c r="L27" s="25"/>
      <c r="M27" s="25"/>
      <c r="N27" s="26"/>
      <c r="O27" s="1"/>
      <c r="P27" s="1"/>
      <c r="Q27" s="31"/>
      <c r="R27" s="6" t="e">
        <f t="shared" si="1"/>
        <v>#DIV/0!</v>
      </c>
      <c r="S27">
        <f t="shared" si="7"/>
        <v>90629.312661498698</v>
      </c>
      <c r="T27">
        <f t="shared" si="8"/>
        <v>87187.530504379363</v>
      </c>
      <c r="U27">
        <f t="shared" si="9"/>
        <v>70</v>
      </c>
      <c r="V27">
        <f t="shared" si="10"/>
        <v>80</v>
      </c>
      <c r="W27">
        <f t="shared" si="2"/>
        <v>0</v>
      </c>
      <c r="X27">
        <f t="shared" si="3"/>
        <v>61031.27135306556</v>
      </c>
      <c r="Y27">
        <f t="shared" si="4"/>
        <v>69750.024403503485</v>
      </c>
      <c r="Z27">
        <f t="shared" si="5"/>
        <v>0</v>
      </c>
      <c r="AA27" t="e">
        <f t="shared" si="6"/>
        <v>#DIV/0!</v>
      </c>
    </row>
    <row r="28" spans="1:27">
      <c r="A28" s="31"/>
      <c r="B28" s="23">
        <v>40386</v>
      </c>
      <c r="C28" s="24"/>
      <c r="D28" s="24"/>
      <c r="E28" s="24">
        <v>36</v>
      </c>
      <c r="F28" s="24">
        <v>73984</v>
      </c>
      <c r="G28" s="24"/>
      <c r="H28" s="24"/>
      <c r="I28" s="25"/>
      <c r="J28" s="25"/>
      <c r="K28" s="25">
        <v>1792.671875</v>
      </c>
      <c r="L28" s="25"/>
      <c r="M28" s="25"/>
      <c r="N28" s="26"/>
      <c r="O28" s="1"/>
      <c r="P28" s="1"/>
      <c r="Q28" s="31"/>
      <c r="R28" s="6" t="e">
        <f t="shared" si="1"/>
        <v>#DIV/0!</v>
      </c>
      <c r="S28">
        <f t="shared" si="7"/>
        <v>90629.312661498698</v>
      </c>
      <c r="T28">
        <f t="shared" si="8"/>
        <v>87187.530504379363</v>
      </c>
      <c r="U28">
        <f t="shared" si="9"/>
        <v>70</v>
      </c>
      <c r="V28">
        <f t="shared" si="10"/>
        <v>80</v>
      </c>
      <c r="W28">
        <f t="shared" si="2"/>
        <v>0</v>
      </c>
      <c r="X28">
        <f t="shared" si="3"/>
        <v>61031.27135306556</v>
      </c>
      <c r="Y28">
        <f t="shared" si="4"/>
        <v>69750.024403503485</v>
      </c>
      <c r="Z28">
        <f t="shared" si="5"/>
        <v>0</v>
      </c>
      <c r="AA28" t="e">
        <f t="shared" si="6"/>
        <v>#DIV/0!</v>
      </c>
    </row>
    <row r="29" spans="1:27">
      <c r="A29" s="31"/>
      <c r="B29" s="23">
        <v>40387</v>
      </c>
      <c r="C29" s="24"/>
      <c r="D29" s="24"/>
      <c r="E29" s="24">
        <v>27</v>
      </c>
      <c r="F29" s="24">
        <v>64512</v>
      </c>
      <c r="G29" s="24"/>
      <c r="H29" s="24"/>
      <c r="I29" s="25"/>
      <c r="J29" s="25"/>
      <c r="K29" s="25"/>
      <c r="L29" s="25">
        <v>50.0546875</v>
      </c>
      <c r="M29" s="25"/>
      <c r="N29" s="26"/>
      <c r="O29" s="1"/>
      <c r="P29" s="1"/>
      <c r="Q29" s="31"/>
      <c r="R29" s="6" t="e">
        <f t="shared" si="1"/>
        <v>#DIV/0!</v>
      </c>
      <c r="S29">
        <f t="shared" si="7"/>
        <v>90629.312661498698</v>
      </c>
      <c r="T29">
        <f t="shared" si="8"/>
        <v>87187.530504379363</v>
      </c>
      <c r="U29">
        <f t="shared" si="9"/>
        <v>70</v>
      </c>
      <c r="V29">
        <f t="shared" si="10"/>
        <v>80</v>
      </c>
      <c r="W29">
        <f t="shared" si="2"/>
        <v>0</v>
      </c>
      <c r="X29">
        <f t="shared" si="3"/>
        <v>61031.27135306556</v>
      </c>
      <c r="Y29">
        <f t="shared" si="4"/>
        <v>69750.024403503485</v>
      </c>
      <c r="Z29">
        <f t="shared" si="5"/>
        <v>0</v>
      </c>
      <c r="AA29" t="e">
        <f t="shared" si="6"/>
        <v>#DIV/0!</v>
      </c>
    </row>
    <row r="30" spans="1:27">
      <c r="A30" s="31"/>
      <c r="B30" s="23">
        <v>40388</v>
      </c>
      <c r="C30" s="24"/>
      <c r="D30" s="24"/>
      <c r="E30" s="24">
        <v>30</v>
      </c>
      <c r="F30" s="24">
        <v>67584</v>
      </c>
      <c r="G30" s="24"/>
      <c r="H30" s="24"/>
      <c r="I30" s="25"/>
      <c r="J30" s="25"/>
      <c r="K30" s="25"/>
      <c r="L30" s="25">
        <v>49.546875</v>
      </c>
      <c r="M30" s="25"/>
      <c r="N30" s="26"/>
      <c r="O30" s="1"/>
      <c r="P30" s="1"/>
      <c r="Q30" s="31"/>
      <c r="R30" s="6" t="e">
        <f t="shared" si="1"/>
        <v>#DIV/0!</v>
      </c>
      <c r="S30">
        <f t="shared" si="7"/>
        <v>90629.312661498698</v>
      </c>
      <c r="T30">
        <f t="shared" si="8"/>
        <v>87187.530504379363</v>
      </c>
      <c r="U30">
        <f t="shared" si="9"/>
        <v>70</v>
      </c>
      <c r="V30">
        <f t="shared" si="10"/>
        <v>80</v>
      </c>
      <c r="W30">
        <f t="shared" si="2"/>
        <v>0</v>
      </c>
      <c r="X30">
        <f t="shared" si="3"/>
        <v>61031.27135306556</v>
      </c>
      <c r="Y30">
        <f t="shared" si="4"/>
        <v>69750.024403503485</v>
      </c>
      <c r="Z30">
        <f t="shared" si="5"/>
        <v>0</v>
      </c>
      <c r="AA30" t="e">
        <f t="shared" si="6"/>
        <v>#DIV/0!</v>
      </c>
    </row>
    <row r="31" spans="1:27">
      <c r="A31" s="31"/>
      <c r="B31" s="23">
        <v>40389</v>
      </c>
      <c r="C31" s="24"/>
      <c r="D31" s="24"/>
      <c r="E31" s="24">
        <v>30</v>
      </c>
      <c r="F31" s="24">
        <v>67584</v>
      </c>
      <c r="G31" s="24"/>
      <c r="H31" s="24"/>
      <c r="I31" s="25"/>
      <c r="J31" s="25"/>
      <c r="K31" s="25"/>
      <c r="L31" s="25">
        <v>44.9453125</v>
      </c>
      <c r="M31" s="25"/>
      <c r="N31" s="26"/>
      <c r="O31" s="1"/>
      <c r="P31" s="1"/>
      <c r="Q31" s="31"/>
      <c r="R31" s="6" t="e">
        <f t="shared" si="1"/>
        <v>#DIV/0!</v>
      </c>
      <c r="S31">
        <f t="shared" si="7"/>
        <v>90629.312661498698</v>
      </c>
      <c r="T31">
        <f t="shared" si="8"/>
        <v>87187.530504379363</v>
      </c>
      <c r="U31">
        <f t="shared" si="9"/>
        <v>70</v>
      </c>
      <c r="V31">
        <f t="shared" si="10"/>
        <v>80</v>
      </c>
      <c r="W31">
        <f t="shared" si="2"/>
        <v>0</v>
      </c>
      <c r="X31">
        <f t="shared" si="3"/>
        <v>61031.27135306556</v>
      </c>
      <c r="Y31">
        <f t="shared" si="4"/>
        <v>69750.024403503485</v>
      </c>
      <c r="Z31">
        <f t="shared" si="5"/>
        <v>0</v>
      </c>
      <c r="AA31" t="e">
        <f t="shared" si="6"/>
        <v>#DIV/0!</v>
      </c>
    </row>
    <row r="32" spans="1:27">
      <c r="A32" s="31"/>
      <c r="B32" s="23">
        <v>40390</v>
      </c>
      <c r="C32" s="24"/>
      <c r="D32" s="24"/>
      <c r="E32" s="24">
        <v>30</v>
      </c>
      <c r="F32" s="24">
        <v>67584</v>
      </c>
      <c r="G32" s="24"/>
      <c r="H32" s="24"/>
      <c r="I32" s="25"/>
      <c r="J32" s="25"/>
      <c r="K32" s="25"/>
      <c r="L32" s="25">
        <v>43.80078125</v>
      </c>
      <c r="M32" s="25"/>
      <c r="N32" s="26"/>
      <c r="O32" s="1"/>
      <c r="P32" s="1"/>
      <c r="Q32" s="31"/>
      <c r="R32" s="6" t="e">
        <f t="shared" si="1"/>
        <v>#DIV/0!</v>
      </c>
      <c r="S32">
        <f t="shared" si="7"/>
        <v>90629.312661498698</v>
      </c>
      <c r="T32">
        <f t="shared" si="8"/>
        <v>87187.530504379363</v>
      </c>
      <c r="U32">
        <f t="shared" si="9"/>
        <v>70</v>
      </c>
      <c r="V32">
        <f t="shared" si="10"/>
        <v>80</v>
      </c>
      <c r="W32">
        <f t="shared" si="2"/>
        <v>0</v>
      </c>
      <c r="X32">
        <f t="shared" si="3"/>
        <v>61031.27135306556</v>
      </c>
      <c r="Y32">
        <f t="shared" si="4"/>
        <v>69750.024403503485</v>
      </c>
      <c r="Z32">
        <f t="shared" si="5"/>
        <v>0</v>
      </c>
      <c r="AA32" t="e">
        <f t="shared" si="6"/>
        <v>#DIV/0!</v>
      </c>
    </row>
    <row r="33" spans="1:27">
      <c r="A33" s="31"/>
      <c r="B33" s="23">
        <v>40391</v>
      </c>
      <c r="C33" s="24"/>
      <c r="D33" s="24"/>
      <c r="E33" s="24">
        <v>30</v>
      </c>
      <c r="F33" s="24">
        <v>67584</v>
      </c>
      <c r="G33" s="24"/>
      <c r="H33" s="24"/>
      <c r="I33" s="25"/>
      <c r="J33" s="25"/>
      <c r="K33" s="25"/>
      <c r="L33" s="25">
        <v>43.80078125</v>
      </c>
      <c r="M33" s="25"/>
      <c r="N33" s="26"/>
      <c r="O33" s="1"/>
      <c r="P33" s="1"/>
      <c r="Q33" s="31"/>
      <c r="R33" s="6" t="e">
        <f t="shared" si="1"/>
        <v>#DIV/0!</v>
      </c>
      <c r="S33">
        <f t="shared" si="7"/>
        <v>90629.312661498698</v>
      </c>
      <c r="T33">
        <f t="shared" si="8"/>
        <v>87187.530504379363</v>
      </c>
      <c r="U33">
        <f t="shared" si="9"/>
        <v>70</v>
      </c>
      <c r="V33">
        <f t="shared" si="10"/>
        <v>80</v>
      </c>
      <c r="W33">
        <f t="shared" si="2"/>
        <v>0</v>
      </c>
      <c r="X33">
        <f t="shared" si="3"/>
        <v>61031.27135306556</v>
      </c>
      <c r="Y33">
        <f t="shared" si="4"/>
        <v>69750.024403503485</v>
      </c>
      <c r="Z33">
        <f t="shared" si="5"/>
        <v>0</v>
      </c>
      <c r="AA33" t="e">
        <f t="shared" si="6"/>
        <v>#DIV/0!</v>
      </c>
    </row>
    <row r="34" spans="1:27">
      <c r="A34" s="31"/>
      <c r="B34" s="23">
        <v>40392</v>
      </c>
      <c r="C34" s="24"/>
      <c r="D34" s="24"/>
      <c r="E34" s="24">
        <v>31</v>
      </c>
      <c r="F34" s="24">
        <v>70656</v>
      </c>
      <c r="G34" s="24"/>
      <c r="H34" s="24"/>
      <c r="I34" s="25"/>
      <c r="J34" s="25"/>
      <c r="K34" s="25"/>
      <c r="L34" s="25">
        <v>43.30859375</v>
      </c>
      <c r="M34" s="25"/>
      <c r="N34" s="26"/>
      <c r="O34" s="1"/>
      <c r="P34" s="1"/>
      <c r="Q34" s="31"/>
      <c r="R34" s="6" t="e">
        <f t="shared" si="1"/>
        <v>#DIV/0!</v>
      </c>
      <c r="S34">
        <f t="shared" si="7"/>
        <v>90629.312661498698</v>
      </c>
      <c r="T34">
        <f t="shared" si="8"/>
        <v>87187.530504379363</v>
      </c>
      <c r="U34">
        <f t="shared" si="9"/>
        <v>70</v>
      </c>
      <c r="V34">
        <f t="shared" si="10"/>
        <v>80</v>
      </c>
      <c r="W34">
        <f t="shared" si="2"/>
        <v>0</v>
      </c>
      <c r="X34">
        <f t="shared" si="3"/>
        <v>61031.27135306556</v>
      </c>
      <c r="Y34">
        <f t="shared" si="4"/>
        <v>69750.024403503485</v>
      </c>
      <c r="Z34">
        <f t="shared" si="5"/>
        <v>0</v>
      </c>
      <c r="AA34" t="e">
        <f t="shared" si="6"/>
        <v>#DIV/0!</v>
      </c>
    </row>
    <row r="35" spans="1:27">
      <c r="A35" s="31"/>
      <c r="B35" s="23">
        <v>40393</v>
      </c>
      <c r="C35" s="24"/>
      <c r="D35" s="24"/>
      <c r="E35" s="24">
        <v>36</v>
      </c>
      <c r="F35" s="24">
        <v>72224</v>
      </c>
      <c r="G35" s="24"/>
      <c r="H35" s="24"/>
      <c r="I35" s="25"/>
      <c r="J35" s="25"/>
      <c r="K35" s="25"/>
      <c r="L35" s="25">
        <v>47.1689453125</v>
      </c>
      <c r="M35" s="25"/>
      <c r="N35" s="26"/>
      <c r="O35" s="1"/>
      <c r="P35" s="1"/>
      <c r="Q35" s="31"/>
      <c r="R35" s="6" t="e">
        <f t="shared" si="1"/>
        <v>#DIV/0!</v>
      </c>
      <c r="S35">
        <f t="shared" si="7"/>
        <v>90629.312661498698</v>
      </c>
      <c r="T35">
        <f t="shared" si="8"/>
        <v>87187.530504379363</v>
      </c>
      <c r="U35">
        <f t="shared" si="9"/>
        <v>70</v>
      </c>
      <c r="V35">
        <f t="shared" si="10"/>
        <v>80</v>
      </c>
      <c r="W35">
        <f t="shared" si="2"/>
        <v>0</v>
      </c>
      <c r="X35">
        <f t="shared" si="3"/>
        <v>61031.27135306556</v>
      </c>
      <c r="Y35">
        <f t="shared" si="4"/>
        <v>69750.024403503485</v>
      </c>
      <c r="Z35">
        <f t="shared" si="5"/>
        <v>0</v>
      </c>
      <c r="AA35" t="e">
        <f t="shared" si="6"/>
        <v>#DIV/0!</v>
      </c>
    </row>
    <row r="36" spans="1:27">
      <c r="A36" s="31"/>
      <c r="B36" s="23">
        <v>40394</v>
      </c>
      <c r="C36" s="24"/>
      <c r="D36" s="24"/>
      <c r="E36" s="24">
        <v>36</v>
      </c>
      <c r="F36" s="24">
        <v>72224</v>
      </c>
      <c r="G36" s="24"/>
      <c r="H36" s="24"/>
      <c r="I36" s="25"/>
      <c r="J36" s="25"/>
      <c r="K36" s="25"/>
      <c r="L36" s="25"/>
      <c r="M36" s="25"/>
      <c r="N36" s="26"/>
      <c r="O36" s="1"/>
      <c r="P36" s="1"/>
      <c r="Q36" s="31"/>
      <c r="R36" s="6" t="e">
        <f t="shared" si="1"/>
        <v>#DIV/0!</v>
      </c>
      <c r="S36">
        <f t="shared" si="7"/>
        <v>90629.312661498698</v>
      </c>
      <c r="T36">
        <f t="shared" si="8"/>
        <v>87187.530504379363</v>
      </c>
      <c r="U36">
        <f t="shared" si="9"/>
        <v>70</v>
      </c>
      <c r="V36">
        <f t="shared" si="10"/>
        <v>80</v>
      </c>
      <c r="W36">
        <f t="shared" si="2"/>
        <v>0</v>
      </c>
      <c r="X36">
        <f t="shared" si="3"/>
        <v>61031.27135306556</v>
      </c>
      <c r="Y36">
        <f t="shared" si="4"/>
        <v>69750.024403503485</v>
      </c>
      <c r="Z36">
        <f t="shared" si="5"/>
        <v>0</v>
      </c>
      <c r="AA36" t="e">
        <f t="shared" si="6"/>
        <v>#DIV/0!</v>
      </c>
    </row>
    <row r="37" spans="1:27">
      <c r="A37" s="31"/>
      <c r="B37" s="23">
        <v>40395</v>
      </c>
      <c r="C37" s="24"/>
      <c r="D37" s="24"/>
      <c r="E37" s="24">
        <v>32</v>
      </c>
      <c r="F37" s="24">
        <v>70160</v>
      </c>
      <c r="G37" s="24"/>
      <c r="H37" s="24"/>
      <c r="I37" s="25"/>
      <c r="J37" s="25"/>
      <c r="K37" s="25"/>
      <c r="L37" s="25"/>
      <c r="M37" s="25"/>
      <c r="N37" s="26"/>
      <c r="O37" s="1"/>
      <c r="P37" s="1"/>
      <c r="Q37" s="31"/>
      <c r="R37" s="6" t="e">
        <f t="shared" si="1"/>
        <v>#DIV/0!</v>
      </c>
      <c r="S37">
        <f t="shared" si="7"/>
        <v>90629.312661498698</v>
      </c>
      <c r="T37">
        <f t="shared" si="8"/>
        <v>87187.530504379363</v>
      </c>
      <c r="U37">
        <f t="shared" si="9"/>
        <v>70</v>
      </c>
      <c r="V37">
        <f t="shared" si="10"/>
        <v>80</v>
      </c>
      <c r="W37">
        <f t="shared" si="2"/>
        <v>0</v>
      </c>
      <c r="X37">
        <f t="shared" si="3"/>
        <v>61031.27135306556</v>
      </c>
      <c r="Y37">
        <f t="shared" si="4"/>
        <v>69750.024403503485</v>
      </c>
      <c r="Z37">
        <f t="shared" si="5"/>
        <v>0</v>
      </c>
      <c r="AA37" t="e">
        <f t="shared" si="6"/>
        <v>#DIV/0!</v>
      </c>
    </row>
    <row r="38" spans="1:27">
      <c r="A38" s="31"/>
      <c r="B38" s="23">
        <v>40396</v>
      </c>
      <c r="C38" s="24"/>
      <c r="D38" s="24"/>
      <c r="E38" s="24">
        <v>32</v>
      </c>
      <c r="F38" s="24">
        <v>70160</v>
      </c>
      <c r="G38" s="24"/>
      <c r="H38" s="24"/>
      <c r="I38" s="25"/>
      <c r="J38" s="25"/>
      <c r="K38" s="25"/>
      <c r="L38" s="25"/>
      <c r="M38" s="25"/>
      <c r="N38" s="26"/>
      <c r="O38" s="1"/>
      <c r="P38" s="1"/>
      <c r="Q38" s="31"/>
      <c r="R38" s="6" t="e">
        <f t="shared" si="1"/>
        <v>#DIV/0!</v>
      </c>
      <c r="S38">
        <f t="shared" si="7"/>
        <v>90629.312661498698</v>
      </c>
      <c r="T38">
        <f t="shared" si="8"/>
        <v>87187.530504379363</v>
      </c>
      <c r="U38">
        <f t="shared" si="9"/>
        <v>70</v>
      </c>
      <c r="V38">
        <f t="shared" si="10"/>
        <v>80</v>
      </c>
      <c r="W38">
        <f t="shared" si="2"/>
        <v>0</v>
      </c>
      <c r="X38">
        <f t="shared" si="3"/>
        <v>61031.27135306556</v>
      </c>
      <c r="Y38">
        <f t="shared" si="4"/>
        <v>69750.024403503485</v>
      </c>
      <c r="Z38">
        <f t="shared" si="5"/>
        <v>0</v>
      </c>
      <c r="AA38" t="e">
        <f t="shared" si="6"/>
        <v>#DIV/0!</v>
      </c>
    </row>
    <row r="39" spans="1:27">
      <c r="A39" s="31"/>
      <c r="B39" s="23">
        <v>40397</v>
      </c>
      <c r="C39" s="24"/>
      <c r="D39" s="24"/>
      <c r="E39" s="24">
        <v>32</v>
      </c>
      <c r="F39" s="24">
        <v>70160</v>
      </c>
      <c r="G39" s="24"/>
      <c r="H39" s="24"/>
      <c r="I39" s="25"/>
      <c r="J39" s="25"/>
      <c r="K39" s="25"/>
      <c r="L39" s="25"/>
      <c r="M39" s="25"/>
      <c r="N39" s="26"/>
      <c r="O39" s="1"/>
      <c r="P39" s="1"/>
      <c r="Q39" s="31"/>
      <c r="R39" s="6" t="e">
        <f t="shared" si="1"/>
        <v>#DIV/0!</v>
      </c>
      <c r="S39">
        <f t="shared" si="7"/>
        <v>90629.312661498698</v>
      </c>
      <c r="T39">
        <f t="shared" si="8"/>
        <v>87187.530504379363</v>
      </c>
      <c r="U39">
        <f t="shared" si="9"/>
        <v>70</v>
      </c>
      <c r="V39">
        <f t="shared" si="10"/>
        <v>80</v>
      </c>
      <c r="W39">
        <f t="shared" si="2"/>
        <v>0</v>
      </c>
      <c r="X39">
        <f t="shared" si="3"/>
        <v>61031.27135306556</v>
      </c>
      <c r="Y39">
        <f t="shared" si="4"/>
        <v>69750.024403503485</v>
      </c>
      <c r="Z39">
        <f t="shared" si="5"/>
        <v>0</v>
      </c>
      <c r="AA39" t="e">
        <f t="shared" si="6"/>
        <v>#DIV/0!</v>
      </c>
    </row>
    <row r="40" spans="1:27">
      <c r="A40" s="31"/>
      <c r="B40" s="23">
        <v>40398</v>
      </c>
      <c r="C40" s="24"/>
      <c r="D40" s="24"/>
      <c r="E40" s="24">
        <v>32</v>
      </c>
      <c r="F40" s="24">
        <v>70160</v>
      </c>
      <c r="G40" s="24"/>
      <c r="H40" s="24"/>
      <c r="I40" s="25"/>
      <c r="J40" s="25"/>
      <c r="K40" s="25"/>
      <c r="L40" s="25"/>
      <c r="M40" s="25"/>
      <c r="N40" s="26"/>
      <c r="O40" s="1"/>
      <c r="P40" s="1"/>
      <c r="Q40" s="31"/>
      <c r="R40" s="6" t="e">
        <f t="shared" si="1"/>
        <v>#DIV/0!</v>
      </c>
      <c r="S40">
        <f t="shared" si="7"/>
        <v>90629.312661498698</v>
      </c>
      <c r="T40">
        <f t="shared" si="8"/>
        <v>87187.530504379363</v>
      </c>
      <c r="U40">
        <f t="shared" si="9"/>
        <v>70</v>
      </c>
      <c r="V40">
        <f t="shared" si="10"/>
        <v>80</v>
      </c>
      <c r="W40">
        <f t="shared" si="2"/>
        <v>0</v>
      </c>
      <c r="X40">
        <f t="shared" si="3"/>
        <v>61031.27135306556</v>
      </c>
      <c r="Y40">
        <f t="shared" si="4"/>
        <v>69750.024403503485</v>
      </c>
      <c r="Z40">
        <f t="shared" si="5"/>
        <v>0</v>
      </c>
      <c r="AA40" t="e">
        <f t="shared" si="6"/>
        <v>#DIV/0!</v>
      </c>
    </row>
    <row r="41" spans="1:27">
      <c r="A41" s="31"/>
      <c r="B41" s="23">
        <v>40399</v>
      </c>
      <c r="C41" s="24"/>
      <c r="D41" s="24"/>
      <c r="E41" s="24">
        <v>32</v>
      </c>
      <c r="F41" s="24">
        <v>70160</v>
      </c>
      <c r="G41" s="24"/>
      <c r="H41" s="24"/>
      <c r="I41" s="25"/>
      <c r="J41" s="25"/>
      <c r="K41" s="25"/>
      <c r="L41" s="25"/>
      <c r="M41" s="25"/>
      <c r="N41" s="26"/>
      <c r="O41" s="1"/>
      <c r="P41" s="1"/>
      <c r="Q41" s="31"/>
      <c r="R41" s="6" t="e">
        <f t="shared" si="1"/>
        <v>#DIV/0!</v>
      </c>
      <c r="S41">
        <f t="shared" si="7"/>
        <v>90629.312661498698</v>
      </c>
      <c r="T41">
        <f t="shared" si="8"/>
        <v>87187.530504379363</v>
      </c>
      <c r="U41">
        <f t="shared" si="9"/>
        <v>70</v>
      </c>
      <c r="V41">
        <f t="shared" si="10"/>
        <v>80</v>
      </c>
      <c r="W41">
        <f t="shared" si="2"/>
        <v>0</v>
      </c>
      <c r="X41">
        <f t="shared" si="3"/>
        <v>61031.27135306556</v>
      </c>
      <c r="Y41">
        <f t="shared" si="4"/>
        <v>69750.024403503485</v>
      </c>
      <c r="Z41">
        <f t="shared" si="5"/>
        <v>0</v>
      </c>
      <c r="AA41" t="e">
        <f t="shared" si="6"/>
        <v>#DIV/0!</v>
      </c>
    </row>
    <row r="42" spans="1:27">
      <c r="A42" s="31"/>
      <c r="B42" s="23">
        <v>40400</v>
      </c>
      <c r="C42" s="24"/>
      <c r="D42" s="24"/>
      <c r="E42" s="24">
        <v>32</v>
      </c>
      <c r="F42" s="24">
        <v>70160</v>
      </c>
      <c r="G42" s="24"/>
      <c r="H42" s="24"/>
      <c r="I42" s="25"/>
      <c r="J42" s="25"/>
      <c r="K42" s="25">
        <v>687.9306640625</v>
      </c>
      <c r="L42" s="25"/>
      <c r="M42" s="25"/>
      <c r="N42" s="26"/>
      <c r="O42" s="1"/>
      <c r="P42" s="1"/>
      <c r="Q42" s="31"/>
      <c r="R42" s="6" t="e">
        <f t="shared" si="1"/>
        <v>#DIV/0!</v>
      </c>
      <c r="S42">
        <f t="shared" si="7"/>
        <v>90629.312661498698</v>
      </c>
      <c r="T42">
        <f t="shared" si="8"/>
        <v>87187.530504379363</v>
      </c>
      <c r="U42">
        <f t="shared" si="9"/>
        <v>70</v>
      </c>
      <c r="V42">
        <f t="shared" si="10"/>
        <v>80</v>
      </c>
      <c r="W42">
        <f t="shared" si="2"/>
        <v>0</v>
      </c>
      <c r="X42">
        <f t="shared" si="3"/>
        <v>61031.27135306556</v>
      </c>
      <c r="Y42">
        <f t="shared" si="4"/>
        <v>69750.024403503485</v>
      </c>
      <c r="Z42">
        <f t="shared" si="5"/>
        <v>0</v>
      </c>
      <c r="AA42" t="e">
        <f t="shared" si="6"/>
        <v>#DIV/0!</v>
      </c>
    </row>
    <row r="43" spans="1:27">
      <c r="A43" s="31"/>
      <c r="B43" s="23">
        <v>40401</v>
      </c>
      <c r="C43" s="24"/>
      <c r="D43" s="24"/>
      <c r="E43" s="24">
        <v>33</v>
      </c>
      <c r="F43" s="24">
        <v>71184</v>
      </c>
      <c r="G43" s="24"/>
      <c r="H43" s="24"/>
      <c r="I43" s="25"/>
      <c r="J43" s="25"/>
      <c r="K43" s="25">
        <v>164.41796875</v>
      </c>
      <c r="L43" s="25"/>
      <c r="M43" s="25"/>
      <c r="N43" s="26"/>
      <c r="O43" s="1"/>
      <c r="P43" s="1"/>
      <c r="Q43" s="31"/>
      <c r="R43" s="6" t="e">
        <f t="shared" si="1"/>
        <v>#DIV/0!</v>
      </c>
      <c r="S43">
        <f t="shared" si="7"/>
        <v>90629.312661498698</v>
      </c>
      <c r="T43">
        <f t="shared" si="8"/>
        <v>87187.530504379363</v>
      </c>
      <c r="U43">
        <f t="shared" si="9"/>
        <v>70</v>
      </c>
      <c r="V43">
        <f t="shared" si="10"/>
        <v>80</v>
      </c>
      <c r="W43">
        <f t="shared" si="2"/>
        <v>0</v>
      </c>
      <c r="X43">
        <f t="shared" si="3"/>
        <v>61031.27135306556</v>
      </c>
      <c r="Y43">
        <f t="shared" si="4"/>
        <v>69750.024403503485</v>
      </c>
      <c r="Z43">
        <f t="shared" si="5"/>
        <v>0</v>
      </c>
      <c r="AA43" t="e">
        <f t="shared" si="6"/>
        <v>#DIV/0!</v>
      </c>
    </row>
    <row r="44" spans="1:27">
      <c r="A44" s="31"/>
      <c r="B44" s="23">
        <v>40402</v>
      </c>
      <c r="C44" s="24"/>
      <c r="D44" s="24"/>
      <c r="E44" s="24">
        <v>34</v>
      </c>
      <c r="F44" s="24">
        <v>72208</v>
      </c>
      <c r="G44" s="24"/>
      <c r="H44" s="24"/>
      <c r="I44" s="25"/>
      <c r="J44" s="25"/>
      <c r="K44" s="25"/>
      <c r="L44" s="25"/>
      <c r="M44" s="25"/>
      <c r="N44" s="26"/>
      <c r="O44" s="1"/>
      <c r="P44" s="1"/>
      <c r="Q44" s="31"/>
      <c r="R44" s="6" t="e">
        <f t="shared" si="1"/>
        <v>#DIV/0!</v>
      </c>
      <c r="S44">
        <f t="shared" si="7"/>
        <v>90629.312661498698</v>
      </c>
      <c r="T44">
        <f t="shared" si="8"/>
        <v>87187.530504379363</v>
      </c>
      <c r="U44">
        <f t="shared" si="9"/>
        <v>70</v>
      </c>
      <c r="V44">
        <f t="shared" si="10"/>
        <v>80</v>
      </c>
      <c r="W44">
        <f t="shared" si="2"/>
        <v>0</v>
      </c>
      <c r="X44">
        <f t="shared" si="3"/>
        <v>61031.27135306556</v>
      </c>
      <c r="Y44">
        <f t="shared" si="4"/>
        <v>69750.024403503485</v>
      </c>
      <c r="Z44">
        <f t="shared" si="5"/>
        <v>0</v>
      </c>
      <c r="AA44" t="e">
        <f t="shared" si="6"/>
        <v>#DIV/0!</v>
      </c>
    </row>
    <row r="45" spans="1:27">
      <c r="A45" s="31"/>
      <c r="B45" s="23">
        <v>40403</v>
      </c>
      <c r="C45" s="24"/>
      <c r="D45" s="24"/>
      <c r="E45" s="24">
        <v>34</v>
      </c>
      <c r="F45" s="24">
        <v>72208</v>
      </c>
      <c r="G45" s="24"/>
      <c r="H45" s="24"/>
      <c r="I45" s="25"/>
      <c r="J45" s="25"/>
      <c r="K45" s="25"/>
      <c r="L45" s="25"/>
      <c r="M45" s="25"/>
      <c r="N45" s="26"/>
      <c r="O45" s="1"/>
      <c r="P45" s="1"/>
      <c r="Q45" s="31"/>
      <c r="R45" s="6" t="e">
        <f t="shared" si="1"/>
        <v>#DIV/0!</v>
      </c>
      <c r="S45">
        <f t="shared" si="7"/>
        <v>90629.312661498698</v>
      </c>
      <c r="T45">
        <f t="shared" si="8"/>
        <v>87187.530504379363</v>
      </c>
      <c r="U45">
        <f t="shared" si="9"/>
        <v>70</v>
      </c>
      <c r="V45">
        <f t="shared" si="10"/>
        <v>80</v>
      </c>
      <c r="W45">
        <f t="shared" si="2"/>
        <v>0</v>
      </c>
      <c r="X45">
        <f t="shared" si="3"/>
        <v>61031.27135306556</v>
      </c>
      <c r="Y45">
        <f t="shared" si="4"/>
        <v>69750.024403503485</v>
      </c>
      <c r="Z45">
        <f t="shared" si="5"/>
        <v>0</v>
      </c>
      <c r="AA45" t="e">
        <f t="shared" si="6"/>
        <v>#DIV/0!</v>
      </c>
    </row>
    <row r="46" spans="1:27">
      <c r="A46" s="31"/>
      <c r="B46" s="23">
        <v>40404</v>
      </c>
      <c r="C46" s="24"/>
      <c r="D46" s="24"/>
      <c r="E46" s="24">
        <v>34</v>
      </c>
      <c r="F46" s="24">
        <v>72208</v>
      </c>
      <c r="G46" s="24"/>
      <c r="H46" s="24"/>
      <c r="I46" s="25"/>
      <c r="J46" s="25"/>
      <c r="K46" s="25"/>
      <c r="L46" s="25"/>
      <c r="M46" s="25"/>
      <c r="N46" s="26"/>
      <c r="O46" s="1"/>
      <c r="P46" s="1"/>
      <c r="Q46" s="31"/>
      <c r="R46" s="6" t="e">
        <f t="shared" si="1"/>
        <v>#DIV/0!</v>
      </c>
      <c r="S46">
        <f t="shared" si="7"/>
        <v>90629.312661498698</v>
      </c>
      <c r="T46">
        <f t="shared" si="8"/>
        <v>87187.530504379363</v>
      </c>
      <c r="U46">
        <f t="shared" si="9"/>
        <v>70</v>
      </c>
      <c r="V46">
        <f t="shared" si="10"/>
        <v>80</v>
      </c>
      <c r="W46">
        <f t="shared" si="2"/>
        <v>0</v>
      </c>
      <c r="X46">
        <f t="shared" si="3"/>
        <v>61031.27135306556</v>
      </c>
      <c r="Y46">
        <f t="shared" si="4"/>
        <v>69750.024403503485</v>
      </c>
      <c r="Z46">
        <f t="shared" si="5"/>
        <v>0</v>
      </c>
      <c r="AA46" t="e">
        <f t="shared" si="6"/>
        <v>#DIV/0!</v>
      </c>
    </row>
    <row r="47" spans="1:27">
      <c r="A47" s="31"/>
      <c r="B47" s="23">
        <v>40405</v>
      </c>
      <c r="C47" s="24"/>
      <c r="D47" s="24"/>
      <c r="E47" s="24">
        <v>34</v>
      </c>
      <c r="F47" s="24">
        <v>72208</v>
      </c>
      <c r="G47" s="24"/>
      <c r="H47" s="24"/>
      <c r="I47" s="25"/>
      <c r="J47" s="25"/>
      <c r="K47" s="25"/>
      <c r="L47" s="25"/>
      <c r="M47" s="25"/>
      <c r="N47" s="26"/>
      <c r="O47" s="1"/>
      <c r="P47" s="1"/>
      <c r="Q47" s="31"/>
      <c r="R47" s="6" t="e">
        <f t="shared" si="1"/>
        <v>#DIV/0!</v>
      </c>
      <c r="S47">
        <f t="shared" si="7"/>
        <v>90629.312661498698</v>
      </c>
      <c r="T47">
        <f t="shared" si="8"/>
        <v>87187.530504379363</v>
      </c>
      <c r="U47">
        <f t="shared" si="9"/>
        <v>70</v>
      </c>
      <c r="V47">
        <f t="shared" si="10"/>
        <v>80</v>
      </c>
      <c r="W47">
        <f t="shared" si="2"/>
        <v>0</v>
      </c>
      <c r="X47">
        <f t="shared" si="3"/>
        <v>61031.27135306556</v>
      </c>
      <c r="Y47">
        <f t="shared" si="4"/>
        <v>69750.024403503485</v>
      </c>
      <c r="Z47">
        <f t="shared" si="5"/>
        <v>0</v>
      </c>
      <c r="AA47" t="e">
        <f t="shared" si="6"/>
        <v>#DIV/0!</v>
      </c>
    </row>
    <row r="48" spans="1:27">
      <c r="A48" s="31"/>
      <c r="B48" s="23">
        <v>40406</v>
      </c>
      <c r="C48" s="24"/>
      <c r="D48" s="24"/>
      <c r="E48" s="24">
        <v>34</v>
      </c>
      <c r="F48" s="24">
        <v>72208</v>
      </c>
      <c r="G48" s="24"/>
      <c r="H48" s="24"/>
      <c r="I48" s="25"/>
      <c r="J48" s="25"/>
      <c r="K48" s="25"/>
      <c r="L48" s="25"/>
      <c r="M48" s="25"/>
      <c r="N48" s="26"/>
      <c r="O48" s="1"/>
      <c r="P48" s="1"/>
      <c r="Q48" s="31"/>
      <c r="R48" s="6" t="e">
        <f t="shared" si="1"/>
        <v>#DIV/0!</v>
      </c>
      <c r="S48">
        <f t="shared" si="7"/>
        <v>90629.312661498698</v>
      </c>
      <c r="T48">
        <f t="shared" si="8"/>
        <v>87187.530504379363</v>
      </c>
      <c r="U48">
        <f t="shared" si="9"/>
        <v>70</v>
      </c>
      <c r="V48">
        <f t="shared" si="10"/>
        <v>80</v>
      </c>
      <c r="W48">
        <f t="shared" si="2"/>
        <v>0</v>
      </c>
      <c r="X48">
        <f t="shared" si="3"/>
        <v>61031.27135306556</v>
      </c>
      <c r="Y48">
        <f t="shared" si="4"/>
        <v>69750.024403503485</v>
      </c>
      <c r="Z48">
        <f t="shared" si="5"/>
        <v>0</v>
      </c>
      <c r="AA48" t="e">
        <f t="shared" si="6"/>
        <v>#DIV/0!</v>
      </c>
    </row>
    <row r="49" spans="1:27">
      <c r="A49" s="31"/>
      <c r="B49" s="23">
        <v>40407</v>
      </c>
      <c r="C49" s="24">
        <v>91508</v>
      </c>
      <c r="D49" s="24">
        <v>87315.4545454545</v>
      </c>
      <c r="E49" s="24">
        <v>34</v>
      </c>
      <c r="F49" s="24">
        <v>72208</v>
      </c>
      <c r="G49" s="24">
        <v>2771.54545454545</v>
      </c>
      <c r="H49" s="24">
        <v>2.9481818242506499</v>
      </c>
      <c r="I49" s="25">
        <v>37596724.727272697</v>
      </c>
      <c r="J49" s="25">
        <v>2064802.2727272699</v>
      </c>
      <c r="K49" s="25"/>
      <c r="L49" s="25"/>
      <c r="M49" s="25"/>
      <c r="N49" s="26"/>
      <c r="O49" s="1"/>
      <c r="P49" s="1"/>
      <c r="Q49" s="31"/>
      <c r="R49" s="6">
        <f t="shared" si="1"/>
        <v>44.358653531116268</v>
      </c>
      <c r="S49">
        <f t="shared" si="7"/>
        <v>90629.312661498698</v>
      </c>
      <c r="T49">
        <f t="shared" si="8"/>
        <v>87187.530504379363</v>
      </c>
      <c r="U49">
        <f t="shared" si="9"/>
        <v>70</v>
      </c>
      <c r="V49">
        <f t="shared" si="10"/>
        <v>80</v>
      </c>
      <c r="W49">
        <f t="shared" si="2"/>
        <v>36715.551491477243</v>
      </c>
      <c r="X49">
        <f t="shared" si="3"/>
        <v>61031.27135306556</v>
      </c>
      <c r="Y49">
        <f t="shared" si="4"/>
        <v>69750.024403503485</v>
      </c>
      <c r="Z49">
        <f t="shared" si="5"/>
        <v>1079.8691615140365</v>
      </c>
      <c r="AA49">
        <f t="shared" si="6"/>
        <v>3.0287466172853192</v>
      </c>
    </row>
    <row r="50" spans="1:27">
      <c r="A50" s="31"/>
      <c r="B50" s="23">
        <v>40408</v>
      </c>
      <c r="C50" s="24">
        <v>91508</v>
      </c>
      <c r="D50" s="24">
        <v>87317</v>
      </c>
      <c r="E50" s="24">
        <v>34</v>
      </c>
      <c r="F50" s="24">
        <v>72208</v>
      </c>
      <c r="G50" s="24">
        <v>2532.75</v>
      </c>
      <c r="H50" s="24">
        <v>2.6941667000452698</v>
      </c>
      <c r="I50" s="25">
        <v>35010201.166666701</v>
      </c>
      <c r="J50" s="25">
        <v>2080209.16666667</v>
      </c>
      <c r="K50" s="25"/>
      <c r="L50" s="25"/>
      <c r="M50" s="25"/>
      <c r="N50" s="26"/>
      <c r="O50" s="1"/>
      <c r="P50" s="1"/>
      <c r="Q50" s="31"/>
      <c r="R50" s="6">
        <f t="shared" si="1"/>
        <v>41.482304523913868</v>
      </c>
      <c r="S50">
        <f t="shared" si="7"/>
        <v>90629.312661498698</v>
      </c>
      <c r="T50">
        <f t="shared" si="8"/>
        <v>87187.530504379363</v>
      </c>
      <c r="U50">
        <f t="shared" si="9"/>
        <v>70</v>
      </c>
      <c r="V50">
        <f t="shared" si="10"/>
        <v>80</v>
      </c>
      <c r="W50">
        <f t="shared" si="2"/>
        <v>34189.649576822951</v>
      </c>
      <c r="X50">
        <f t="shared" si="3"/>
        <v>61031.27135306556</v>
      </c>
      <c r="Y50">
        <f t="shared" si="4"/>
        <v>69750.024403503485</v>
      </c>
      <c r="Z50">
        <f t="shared" si="5"/>
        <v>1005.5779287300868</v>
      </c>
      <c r="AA50">
        <f t="shared" si="6"/>
        <v>2.7677907942474973</v>
      </c>
    </row>
    <row r="51" spans="1:27">
      <c r="A51" s="31"/>
      <c r="B51" s="23">
        <v>40409</v>
      </c>
      <c r="C51" s="24">
        <v>91508</v>
      </c>
      <c r="D51" s="24">
        <v>87317.666666666701</v>
      </c>
      <c r="E51" s="24">
        <v>34</v>
      </c>
      <c r="F51" s="24">
        <v>72208</v>
      </c>
      <c r="G51" s="24">
        <v>2596.6666666666702</v>
      </c>
      <c r="H51" s="24">
        <v>2.76249996821086</v>
      </c>
      <c r="I51" s="25">
        <v>32091459.333333299</v>
      </c>
      <c r="J51" s="25">
        <v>2104929.0833333302</v>
      </c>
      <c r="K51" s="25"/>
      <c r="L51" s="25"/>
      <c r="M51" s="25"/>
      <c r="N51" s="26"/>
      <c r="O51" s="1"/>
      <c r="P51" s="1"/>
      <c r="Q51" s="31"/>
      <c r="R51" s="6">
        <f t="shared" si="1"/>
        <v>38.245308009243253</v>
      </c>
      <c r="S51">
        <f t="shared" si="7"/>
        <v>90629.312661498698</v>
      </c>
      <c r="T51">
        <f t="shared" si="8"/>
        <v>87187.530504379363</v>
      </c>
      <c r="U51">
        <f t="shared" si="9"/>
        <v>70</v>
      </c>
      <c r="V51">
        <f t="shared" si="10"/>
        <v>80</v>
      </c>
      <c r="W51">
        <f t="shared" si="2"/>
        <v>31339.315755208299</v>
      </c>
      <c r="X51">
        <f t="shared" si="3"/>
        <v>61031.27135306556</v>
      </c>
      <c r="Y51">
        <f t="shared" si="4"/>
        <v>69750.024403503485</v>
      </c>
      <c r="Z51">
        <f t="shared" si="5"/>
        <v>921.7445810355382</v>
      </c>
      <c r="AA51">
        <f t="shared" si="6"/>
        <v>2.8376389678133824</v>
      </c>
    </row>
    <row r="52" spans="1:27">
      <c r="A52" s="31"/>
      <c r="B52" s="23">
        <v>40410</v>
      </c>
      <c r="C52" s="24">
        <v>91508</v>
      </c>
      <c r="D52" s="24">
        <v>87318.833333333299</v>
      </c>
      <c r="E52" s="24">
        <v>34</v>
      </c>
      <c r="F52" s="24">
        <v>72208</v>
      </c>
      <c r="G52" s="24">
        <v>3358.5833333333298</v>
      </c>
      <c r="H52" s="24">
        <v>3.5725000500678998</v>
      </c>
      <c r="I52" s="25">
        <v>31744619</v>
      </c>
      <c r="J52" s="25">
        <v>2115433.9166666698</v>
      </c>
      <c r="K52" s="25"/>
      <c r="L52" s="25"/>
      <c r="M52" s="25"/>
      <c r="N52" s="26"/>
      <c r="O52" s="1"/>
      <c r="P52" s="1"/>
      <c r="Q52" s="31"/>
      <c r="R52" s="6">
        <f t="shared" si="1"/>
        <v>37.868643755469677</v>
      </c>
      <c r="S52">
        <f t="shared" si="7"/>
        <v>90629.312661498698</v>
      </c>
      <c r="T52">
        <f t="shared" si="8"/>
        <v>87187.530504379363</v>
      </c>
      <c r="U52">
        <f t="shared" si="9"/>
        <v>70</v>
      </c>
      <c r="V52">
        <f t="shared" si="10"/>
        <v>80</v>
      </c>
      <c r="W52">
        <f t="shared" si="2"/>
        <v>31000.6044921875</v>
      </c>
      <c r="X52">
        <f t="shared" si="3"/>
        <v>61031.27135306556</v>
      </c>
      <c r="Y52">
        <f t="shared" si="4"/>
        <v>69750.024403503485</v>
      </c>
      <c r="Z52">
        <f t="shared" si="5"/>
        <v>911.78248506433829</v>
      </c>
      <c r="AA52">
        <f t="shared" si="6"/>
        <v>3.6702619807375636</v>
      </c>
    </row>
    <row r="53" spans="1:27">
      <c r="A53" s="31"/>
      <c r="B53" s="23">
        <v>40411</v>
      </c>
      <c r="C53" s="24">
        <v>91508</v>
      </c>
      <c r="D53" s="24">
        <v>87318</v>
      </c>
      <c r="E53" s="24">
        <v>34</v>
      </c>
      <c r="F53" s="24">
        <v>72208</v>
      </c>
      <c r="G53" s="24">
        <v>5612.25</v>
      </c>
      <c r="H53" s="24">
        <v>5.9749999841054304</v>
      </c>
      <c r="I53" s="25">
        <v>31920697.666666701</v>
      </c>
      <c r="J53" s="25">
        <v>2128719.25</v>
      </c>
      <c r="K53" s="25"/>
      <c r="L53" s="25"/>
      <c r="M53" s="25"/>
      <c r="N53" s="26"/>
      <c r="O53" s="1"/>
      <c r="P53" s="1"/>
      <c r="Q53" s="31"/>
      <c r="R53" s="6">
        <f t="shared" si="1"/>
        <v>38.080789422206564</v>
      </c>
      <c r="S53">
        <f t="shared" si="7"/>
        <v>90629.312661498698</v>
      </c>
      <c r="T53">
        <f t="shared" si="8"/>
        <v>87187.530504379363</v>
      </c>
      <c r="U53">
        <f t="shared" si="9"/>
        <v>70</v>
      </c>
      <c r="V53">
        <f t="shared" si="10"/>
        <v>80</v>
      </c>
      <c r="W53">
        <f t="shared" si="2"/>
        <v>31172.556315104201</v>
      </c>
      <c r="X53">
        <f t="shared" si="3"/>
        <v>61031.27135306556</v>
      </c>
      <c r="Y53">
        <f t="shared" si="4"/>
        <v>69750.024403503485</v>
      </c>
      <c r="Z53">
        <f t="shared" si="5"/>
        <v>916.8398916207118</v>
      </c>
      <c r="AA53">
        <f t="shared" si="6"/>
        <v>6.1330703326485114</v>
      </c>
    </row>
    <row r="54" spans="1:27">
      <c r="A54" s="31"/>
      <c r="B54" s="23">
        <v>40412</v>
      </c>
      <c r="C54" s="24">
        <v>91508</v>
      </c>
      <c r="D54" s="24">
        <v>87318</v>
      </c>
      <c r="E54" s="24">
        <v>34</v>
      </c>
      <c r="F54" s="24">
        <v>72208</v>
      </c>
      <c r="G54" s="24">
        <v>5598.6666666666697</v>
      </c>
      <c r="H54" s="24">
        <v>5.96083331108093</v>
      </c>
      <c r="I54" s="25">
        <v>32091659.833333299</v>
      </c>
      <c r="J54" s="25">
        <v>2146309.8333333302</v>
      </c>
      <c r="K54" s="25"/>
      <c r="L54" s="25"/>
      <c r="M54" s="25"/>
      <c r="N54" s="26"/>
      <c r="O54" s="1"/>
      <c r="P54" s="1"/>
      <c r="Q54" s="31"/>
      <c r="R54" s="6">
        <f t="shared" si="1"/>
        <v>38.291666383339205</v>
      </c>
      <c r="S54">
        <f t="shared" si="7"/>
        <v>90629.312661498698</v>
      </c>
      <c r="T54">
        <f t="shared" si="8"/>
        <v>87187.530504379363</v>
      </c>
      <c r="U54">
        <f t="shared" si="9"/>
        <v>70</v>
      </c>
      <c r="V54">
        <f t="shared" si="10"/>
        <v>80</v>
      </c>
      <c r="W54">
        <f t="shared" si="2"/>
        <v>31339.511555989549</v>
      </c>
      <c r="X54">
        <f t="shared" si="3"/>
        <v>61031.27135306556</v>
      </c>
      <c r="Y54">
        <f t="shared" si="4"/>
        <v>69750.024403503485</v>
      </c>
      <c r="Z54">
        <f t="shared" si="5"/>
        <v>921.75033988204552</v>
      </c>
      <c r="AA54">
        <f t="shared" si="6"/>
        <v>6.118226457431776</v>
      </c>
    </row>
    <row r="55" spans="1:27">
      <c r="A55" s="31"/>
      <c r="B55" s="23">
        <v>40413</v>
      </c>
      <c r="C55" s="24">
        <v>91508</v>
      </c>
      <c r="D55" s="24">
        <v>87315.583333333299</v>
      </c>
      <c r="E55" s="24">
        <v>35</v>
      </c>
      <c r="F55" s="24">
        <v>74256</v>
      </c>
      <c r="G55" s="24">
        <v>5923.5</v>
      </c>
      <c r="H55" s="24">
        <v>6.3075000445048</v>
      </c>
      <c r="I55" s="25">
        <v>33062265</v>
      </c>
      <c r="J55" s="25">
        <v>2199171.25</v>
      </c>
      <c r="K55" s="25"/>
      <c r="L55" s="25"/>
      <c r="M55" s="25"/>
      <c r="N55" s="26"/>
      <c r="O55" s="1"/>
      <c r="P55" s="1"/>
      <c r="Q55" s="31"/>
      <c r="R55" s="6">
        <f t="shared" si="1"/>
        <v>39.437400545596354</v>
      </c>
      <c r="S55">
        <f t="shared" si="7"/>
        <v>90629.312661498698</v>
      </c>
      <c r="T55">
        <f t="shared" si="8"/>
        <v>87187.530504379363</v>
      </c>
      <c r="U55">
        <f t="shared" si="9"/>
        <v>70</v>
      </c>
      <c r="V55">
        <f t="shared" si="10"/>
        <v>80</v>
      </c>
      <c r="W55">
        <f t="shared" si="2"/>
        <v>32287.3681640625</v>
      </c>
      <c r="X55">
        <f t="shared" si="3"/>
        <v>61031.27135306556</v>
      </c>
      <c r="Y55">
        <f t="shared" si="4"/>
        <v>69750.024403503485</v>
      </c>
      <c r="Z55">
        <f t="shared" si="5"/>
        <v>922.49623325892856</v>
      </c>
      <c r="AA55">
        <f t="shared" si="6"/>
        <v>6.473204528565808</v>
      </c>
    </row>
    <row r="56" spans="1:27">
      <c r="A56" s="31"/>
      <c r="B56" s="23">
        <v>40414</v>
      </c>
      <c r="C56" s="24">
        <v>91508</v>
      </c>
      <c r="D56" s="24">
        <v>87312</v>
      </c>
      <c r="E56" s="24">
        <v>35</v>
      </c>
      <c r="F56" s="24">
        <v>72464</v>
      </c>
      <c r="G56" s="24">
        <v>5809.3333333333303</v>
      </c>
      <c r="H56" s="24">
        <v>6.18416663010915</v>
      </c>
      <c r="I56" s="25">
        <v>32509485.833333299</v>
      </c>
      <c r="J56" s="25">
        <v>2189011.5</v>
      </c>
      <c r="K56" s="25"/>
      <c r="L56" s="25"/>
      <c r="M56" s="25"/>
      <c r="N56" s="26"/>
      <c r="O56" s="1"/>
      <c r="P56" s="1"/>
      <c r="Q56" s="31"/>
      <c r="R56" s="6">
        <f t="shared" si="1"/>
        <v>38.809386226501857</v>
      </c>
      <c r="S56">
        <f t="shared" si="7"/>
        <v>90629.312661498698</v>
      </c>
      <c r="T56">
        <f t="shared" si="8"/>
        <v>87187.530504379363</v>
      </c>
      <c r="U56">
        <f t="shared" si="9"/>
        <v>70</v>
      </c>
      <c r="V56">
        <f t="shared" si="10"/>
        <v>80</v>
      </c>
      <c r="W56">
        <f t="shared" si="2"/>
        <v>31747.544759114549</v>
      </c>
      <c r="X56">
        <f t="shared" si="3"/>
        <v>61031.27135306556</v>
      </c>
      <c r="Y56">
        <f t="shared" si="4"/>
        <v>69750.024403503485</v>
      </c>
      <c r="Z56">
        <f t="shared" si="5"/>
        <v>907.07270740327283</v>
      </c>
      <c r="AA56">
        <f t="shared" si="6"/>
        <v>6.3484431233699024</v>
      </c>
    </row>
    <row r="57" spans="1:27">
      <c r="A57" s="31"/>
      <c r="B57" s="23">
        <v>40415</v>
      </c>
      <c r="C57" s="24">
        <v>91508</v>
      </c>
      <c r="D57" s="24">
        <v>87308.75</v>
      </c>
      <c r="E57" s="24">
        <v>37</v>
      </c>
      <c r="F57" s="24">
        <v>73744</v>
      </c>
      <c r="G57" s="24">
        <v>5945.1666666666697</v>
      </c>
      <c r="H57" s="24">
        <v>6.3283333778381303</v>
      </c>
      <c r="I57" s="25">
        <v>33074360.833333299</v>
      </c>
      <c r="J57" s="25">
        <v>2240666.75</v>
      </c>
      <c r="K57" s="25"/>
      <c r="L57" s="25"/>
      <c r="M57" s="25"/>
      <c r="N57" s="26"/>
      <c r="O57" s="1"/>
      <c r="P57" s="1"/>
      <c r="Q57" s="31"/>
      <c r="R57" s="6">
        <f t="shared" si="1"/>
        <v>39.500429938979678</v>
      </c>
      <c r="S57">
        <f t="shared" si="7"/>
        <v>90629.312661498698</v>
      </c>
      <c r="T57">
        <f t="shared" si="8"/>
        <v>87187.530504379363</v>
      </c>
      <c r="U57">
        <f t="shared" si="9"/>
        <v>70</v>
      </c>
      <c r="V57">
        <f t="shared" si="10"/>
        <v>80</v>
      </c>
      <c r="W57">
        <f t="shared" si="2"/>
        <v>32299.180501302049</v>
      </c>
      <c r="X57">
        <f t="shared" si="3"/>
        <v>61031.27135306556</v>
      </c>
      <c r="Y57">
        <f t="shared" si="4"/>
        <v>69750.024403503485</v>
      </c>
      <c r="Z57">
        <f t="shared" si="5"/>
        <v>872.95082435951485</v>
      </c>
      <c r="AA57">
        <f t="shared" si="6"/>
        <v>6.496881875537297</v>
      </c>
    </row>
    <row r="58" spans="1:27">
      <c r="A58" s="31"/>
      <c r="B58" s="23">
        <v>40416</v>
      </c>
      <c r="C58" s="24">
        <v>91508</v>
      </c>
      <c r="D58" s="24">
        <v>87312.583333333299</v>
      </c>
      <c r="E58" s="24">
        <v>36</v>
      </c>
      <c r="F58" s="24">
        <v>73488</v>
      </c>
      <c r="G58" s="24">
        <v>5765.5833333333303</v>
      </c>
      <c r="H58" s="24">
        <v>6.1383332808812501</v>
      </c>
      <c r="I58" s="25">
        <v>33466546.5</v>
      </c>
      <c r="J58" s="25">
        <v>2316975.9166666698</v>
      </c>
      <c r="K58" s="25"/>
      <c r="L58" s="25"/>
      <c r="M58" s="25"/>
      <c r="N58" s="26"/>
      <c r="O58" s="1"/>
      <c r="P58" s="1"/>
      <c r="Q58" s="31"/>
      <c r="R58" s="6">
        <f t="shared" si="1"/>
        <v>40.022691776988303</v>
      </c>
      <c r="S58">
        <f t="shared" si="7"/>
        <v>90629.312661498698</v>
      </c>
      <c r="T58">
        <f t="shared" si="8"/>
        <v>87187.530504379363</v>
      </c>
      <c r="U58">
        <f t="shared" si="9"/>
        <v>70</v>
      </c>
      <c r="V58">
        <f t="shared" si="10"/>
        <v>80</v>
      </c>
      <c r="W58">
        <f t="shared" si="2"/>
        <v>32682.17431640625</v>
      </c>
      <c r="X58">
        <f t="shared" si="3"/>
        <v>61031.27135306556</v>
      </c>
      <c r="Y58">
        <f t="shared" si="4"/>
        <v>69750.024403503485</v>
      </c>
      <c r="Z58">
        <f t="shared" si="5"/>
        <v>907.83817545572913</v>
      </c>
      <c r="AA58">
        <f t="shared" si="6"/>
        <v>6.3006330958313264</v>
      </c>
    </row>
    <row r="59" spans="1:27">
      <c r="A59" s="31"/>
      <c r="B59" s="23">
        <v>40417</v>
      </c>
      <c r="C59" s="24">
        <v>91508</v>
      </c>
      <c r="D59" s="24">
        <v>87310.5</v>
      </c>
      <c r="E59" s="24">
        <v>36</v>
      </c>
      <c r="F59" s="24">
        <v>73488</v>
      </c>
      <c r="G59" s="24">
        <v>5770.1666666666697</v>
      </c>
      <c r="H59" s="24">
        <v>6.1416666905085204</v>
      </c>
      <c r="I59" s="25">
        <v>33525388.333333299</v>
      </c>
      <c r="J59" s="25">
        <v>2338500.3333333302</v>
      </c>
      <c r="K59" s="25"/>
      <c r="L59" s="25"/>
      <c r="M59" s="25"/>
      <c r="N59" s="26"/>
      <c r="O59" s="1"/>
      <c r="P59" s="1"/>
      <c r="Q59" s="31"/>
      <c r="R59" s="6">
        <f t="shared" si="1"/>
        <v>40.113535916117335</v>
      </c>
      <c r="S59">
        <f t="shared" si="7"/>
        <v>90629.312661498698</v>
      </c>
      <c r="T59">
        <f t="shared" si="8"/>
        <v>87187.530504379363</v>
      </c>
      <c r="U59">
        <f t="shared" si="9"/>
        <v>70</v>
      </c>
      <c r="V59">
        <f t="shared" si="10"/>
        <v>80</v>
      </c>
      <c r="W59">
        <f t="shared" si="2"/>
        <v>32739.637044270799</v>
      </c>
      <c r="X59">
        <f t="shared" si="3"/>
        <v>61031.27135306556</v>
      </c>
      <c r="Y59">
        <f t="shared" si="4"/>
        <v>69750.024403503485</v>
      </c>
      <c r="Z59">
        <f t="shared" si="5"/>
        <v>909.4343623408555</v>
      </c>
      <c r="AA59">
        <f t="shared" si="6"/>
        <v>6.3056417653829939</v>
      </c>
    </row>
    <row r="60" spans="1:27">
      <c r="A60" s="31"/>
      <c r="B60" s="23">
        <v>40418</v>
      </c>
      <c r="C60" s="24">
        <v>91508</v>
      </c>
      <c r="D60" s="24">
        <v>87311</v>
      </c>
      <c r="E60" s="24">
        <v>36</v>
      </c>
      <c r="F60" s="24">
        <v>73488</v>
      </c>
      <c r="G60" s="24">
        <v>5777.8333333333303</v>
      </c>
      <c r="H60" s="24">
        <v>6.1508333285649597</v>
      </c>
      <c r="I60" s="25">
        <v>33337569.166666701</v>
      </c>
      <c r="J60" s="25">
        <v>2353678.4166666698</v>
      </c>
      <c r="K60" s="25"/>
      <c r="L60" s="25"/>
      <c r="M60" s="25"/>
      <c r="N60" s="26"/>
      <c r="O60" s="1"/>
      <c r="P60" s="1"/>
      <c r="Q60" s="31"/>
      <c r="R60" s="6">
        <f t="shared" si="1"/>
        <v>39.920209329980182</v>
      </c>
      <c r="S60">
        <f t="shared" si="7"/>
        <v>90629.312661498698</v>
      </c>
      <c r="T60">
        <f t="shared" si="8"/>
        <v>87187.530504379363</v>
      </c>
      <c r="U60">
        <f t="shared" si="9"/>
        <v>70</v>
      </c>
      <c r="V60">
        <f t="shared" si="10"/>
        <v>80</v>
      </c>
      <c r="W60">
        <f t="shared" si="2"/>
        <v>32556.219889322951</v>
      </c>
      <c r="X60">
        <f t="shared" si="3"/>
        <v>61031.27135306556</v>
      </c>
      <c r="Y60">
        <f t="shared" si="4"/>
        <v>69750.024403503485</v>
      </c>
      <c r="Z60">
        <f t="shared" si="5"/>
        <v>904.339441370082</v>
      </c>
      <c r="AA60">
        <f t="shared" si="6"/>
        <v>6.3140199035421274</v>
      </c>
    </row>
    <row r="61" spans="1:27">
      <c r="A61" s="31"/>
      <c r="B61" s="23">
        <v>40419</v>
      </c>
      <c r="C61" s="24">
        <v>91508</v>
      </c>
      <c r="D61" s="24">
        <v>87311</v>
      </c>
      <c r="E61" s="24">
        <v>36</v>
      </c>
      <c r="F61" s="24">
        <v>73488</v>
      </c>
      <c r="G61" s="24">
        <v>5759.5</v>
      </c>
      <c r="H61" s="24">
        <v>6.1325000921885202</v>
      </c>
      <c r="I61" s="25">
        <v>33555499</v>
      </c>
      <c r="J61" s="25">
        <v>2371969.4166666698</v>
      </c>
      <c r="K61" s="25"/>
      <c r="L61" s="25"/>
      <c r="M61" s="25"/>
      <c r="N61" s="26"/>
      <c r="O61" s="1"/>
      <c r="P61" s="1"/>
      <c r="Q61" s="31"/>
      <c r="R61" s="6">
        <f t="shared" si="1"/>
        <v>40.184419346532565</v>
      </c>
      <c r="S61">
        <f t="shared" si="7"/>
        <v>90629.312661498698</v>
      </c>
      <c r="T61">
        <f t="shared" si="8"/>
        <v>87187.530504379363</v>
      </c>
      <c r="U61">
        <f t="shared" si="9"/>
        <v>70</v>
      </c>
      <c r="V61">
        <f t="shared" si="10"/>
        <v>80</v>
      </c>
      <c r="W61">
        <f t="shared" si="2"/>
        <v>32769.0419921875</v>
      </c>
      <c r="X61">
        <f t="shared" si="3"/>
        <v>61031.27135306556</v>
      </c>
      <c r="Y61">
        <f t="shared" si="4"/>
        <v>69750.024403503485</v>
      </c>
      <c r="Z61">
        <f t="shared" si="5"/>
        <v>910.25116644965283</v>
      </c>
      <c r="AA61">
        <f t="shared" si="6"/>
        <v>6.29398522533549</v>
      </c>
    </row>
    <row r="62" spans="1:27">
      <c r="A62" s="31"/>
      <c r="B62" s="23">
        <v>40420</v>
      </c>
      <c r="C62" s="24">
        <v>91508</v>
      </c>
      <c r="D62" s="24">
        <v>87312.083333333299</v>
      </c>
      <c r="E62" s="24">
        <v>36</v>
      </c>
      <c r="F62" s="24">
        <v>73488</v>
      </c>
      <c r="G62" s="24">
        <v>5851.5</v>
      </c>
      <c r="H62" s="24">
        <v>6.2308333714803101</v>
      </c>
      <c r="I62" s="25">
        <v>33568253.833333299</v>
      </c>
      <c r="J62" s="25">
        <v>2391443.25</v>
      </c>
      <c r="K62" s="25"/>
      <c r="L62" s="25"/>
      <c r="M62" s="25"/>
      <c r="N62" s="26"/>
      <c r="O62" s="1"/>
      <c r="P62" s="1"/>
      <c r="Q62" s="31"/>
      <c r="R62" s="6">
        <f t="shared" si="1"/>
        <v>40.219967663440272</v>
      </c>
      <c r="S62">
        <f t="shared" si="7"/>
        <v>90629.312661498698</v>
      </c>
      <c r="T62">
        <f t="shared" si="8"/>
        <v>87187.530504379363</v>
      </c>
      <c r="U62">
        <f t="shared" si="9"/>
        <v>70</v>
      </c>
      <c r="V62">
        <f t="shared" si="10"/>
        <v>80</v>
      </c>
      <c r="W62">
        <f t="shared" si="2"/>
        <v>32781.497884114549</v>
      </c>
      <c r="X62">
        <f t="shared" si="3"/>
        <v>61031.27135306556</v>
      </c>
      <c r="Y62">
        <f t="shared" si="4"/>
        <v>69750.024403503485</v>
      </c>
      <c r="Z62">
        <f t="shared" si="5"/>
        <v>910.59716344762637</v>
      </c>
      <c r="AA62">
        <f t="shared" si="6"/>
        <v>6.3945228832451813</v>
      </c>
    </row>
    <row r="63" spans="1:27">
      <c r="A63" s="31"/>
      <c r="B63" s="23">
        <v>40421</v>
      </c>
      <c r="C63" s="24">
        <v>91508</v>
      </c>
      <c r="D63" s="24">
        <v>87313</v>
      </c>
      <c r="E63" s="24">
        <v>36</v>
      </c>
      <c r="F63" s="24">
        <v>73488</v>
      </c>
      <c r="G63" s="24">
        <v>5749.75</v>
      </c>
      <c r="H63" s="24">
        <v>6.1208333969116202</v>
      </c>
      <c r="I63" s="25">
        <v>33557542.666666701</v>
      </c>
      <c r="J63" s="25">
        <v>2413510.6666666698</v>
      </c>
      <c r="K63" s="25"/>
      <c r="L63" s="25"/>
      <c r="M63" s="25"/>
      <c r="N63" s="26"/>
      <c r="O63" s="1"/>
      <c r="P63" s="1"/>
      <c r="Q63" s="31"/>
      <c r="R63" s="6">
        <f t="shared" si="1"/>
        <v>40.232246940127325</v>
      </c>
      <c r="S63">
        <f t="shared" si="7"/>
        <v>90629.312661498698</v>
      </c>
      <c r="T63">
        <f t="shared" si="8"/>
        <v>87187.530504379363</v>
      </c>
      <c r="U63">
        <f t="shared" si="9"/>
        <v>70</v>
      </c>
      <c r="V63">
        <f t="shared" si="10"/>
        <v>80</v>
      </c>
      <c r="W63">
        <f t="shared" si="2"/>
        <v>32771.037760416701</v>
      </c>
      <c r="X63">
        <f t="shared" si="3"/>
        <v>61031.27135306556</v>
      </c>
      <c r="Y63">
        <f t="shared" si="4"/>
        <v>69750.024403503485</v>
      </c>
      <c r="Z63">
        <f t="shared" si="5"/>
        <v>910.3066044560195</v>
      </c>
      <c r="AA63">
        <f t="shared" si="6"/>
        <v>6.2833304191983217</v>
      </c>
    </row>
    <row r="64" spans="1:27">
      <c r="A64" s="31"/>
      <c r="B64" s="23">
        <v>40422</v>
      </c>
      <c r="C64" s="24">
        <v>91508</v>
      </c>
      <c r="D64" s="24">
        <v>87312.75</v>
      </c>
      <c r="E64" s="24">
        <v>36</v>
      </c>
      <c r="F64" s="24">
        <v>73488</v>
      </c>
      <c r="G64" s="24">
        <v>5728</v>
      </c>
      <c r="H64" s="24">
        <v>6.0983333587646502</v>
      </c>
      <c r="I64" s="25">
        <v>33503537</v>
      </c>
      <c r="J64" s="25">
        <v>2429962.1666666698</v>
      </c>
      <c r="K64" s="25"/>
      <c r="L64" s="25">
        <v>48.8515625</v>
      </c>
      <c r="M64" s="25"/>
      <c r="N64" s="26"/>
      <c r="O64" s="1"/>
      <c r="P64" s="1"/>
      <c r="Q64" s="31"/>
      <c r="R64" s="6">
        <f t="shared" si="1"/>
        <v>40.190359117022339</v>
      </c>
      <c r="S64">
        <f t="shared" si="7"/>
        <v>90629.312661498698</v>
      </c>
      <c r="T64">
        <f t="shared" si="8"/>
        <v>87187.530504379363</v>
      </c>
      <c r="U64">
        <f t="shared" si="9"/>
        <v>70</v>
      </c>
      <c r="V64">
        <f t="shared" si="10"/>
        <v>80</v>
      </c>
      <c r="W64">
        <f t="shared" si="2"/>
        <v>32718.2978515625</v>
      </c>
      <c r="X64">
        <f t="shared" si="3"/>
        <v>61031.27135306556</v>
      </c>
      <c r="Y64">
        <f t="shared" si="4"/>
        <v>69750.024403503485</v>
      </c>
      <c r="Z64">
        <f t="shared" si="5"/>
        <v>908.84160698784717</v>
      </c>
      <c r="AA64">
        <f t="shared" si="6"/>
        <v>6.2595620055077159</v>
      </c>
    </row>
    <row r="65" spans="1:27">
      <c r="A65" s="31"/>
      <c r="B65" s="23">
        <v>40423</v>
      </c>
      <c r="C65" s="24">
        <v>73179.833333333299</v>
      </c>
      <c r="D65" s="24">
        <v>86885.083333333299</v>
      </c>
      <c r="E65" s="24">
        <v>39</v>
      </c>
      <c r="F65" s="24">
        <v>75552</v>
      </c>
      <c r="G65" s="24">
        <v>6026.1666666666697</v>
      </c>
      <c r="H65" s="24">
        <v>6.4158333142598503</v>
      </c>
      <c r="I65" s="25">
        <v>32681278</v>
      </c>
      <c r="J65" s="25">
        <v>2436885.5833333302</v>
      </c>
      <c r="K65" s="25">
        <v>67.0380859375</v>
      </c>
      <c r="L65" s="25">
        <v>48.8515625</v>
      </c>
      <c r="M65" s="25"/>
      <c r="N65" s="26"/>
      <c r="O65" s="1"/>
      <c r="P65" s="1"/>
      <c r="Q65" s="31"/>
      <c r="R65" s="6">
        <f t="shared" si="1"/>
        <v>39.47177157300569</v>
      </c>
      <c r="S65">
        <f t="shared" si="7"/>
        <v>90629.312661498698</v>
      </c>
      <c r="T65">
        <f t="shared" si="8"/>
        <v>87187.530504379363</v>
      </c>
      <c r="U65">
        <f t="shared" si="9"/>
        <v>70</v>
      </c>
      <c r="V65">
        <f t="shared" si="10"/>
        <v>80</v>
      </c>
      <c r="W65">
        <f t="shared" si="2"/>
        <v>31915.310546875</v>
      </c>
      <c r="X65">
        <f t="shared" si="3"/>
        <v>61031.27135306556</v>
      </c>
      <c r="Y65">
        <f t="shared" si="4"/>
        <v>69750.024403503485</v>
      </c>
      <c r="Z65">
        <f t="shared" si="5"/>
        <v>818.3412960737179</v>
      </c>
      <c r="AA65">
        <f t="shared" si="6"/>
        <v>8.2347368013501061</v>
      </c>
    </row>
    <row r="66" spans="1:27">
      <c r="A66" s="31"/>
      <c r="B66" s="23">
        <v>40424</v>
      </c>
      <c r="C66" s="24">
        <v>77723.583333333299</v>
      </c>
      <c r="D66" s="24">
        <v>85411.666666666701</v>
      </c>
      <c r="E66" s="24">
        <v>41</v>
      </c>
      <c r="F66" s="24">
        <v>79648</v>
      </c>
      <c r="G66" s="24">
        <v>3667.9166666666702</v>
      </c>
      <c r="H66" s="24">
        <v>3.9025000532468201</v>
      </c>
      <c r="I66" s="25">
        <v>25365994.166666701</v>
      </c>
      <c r="J66" s="25">
        <v>2008255.08333333</v>
      </c>
      <c r="K66" s="25"/>
      <c r="L66" s="25">
        <v>665.2451171875</v>
      </c>
      <c r="M66" s="25"/>
      <c r="N66" s="26"/>
      <c r="O66" s="1"/>
      <c r="P66" s="1"/>
      <c r="Q66" s="31"/>
      <c r="R66" s="6">
        <f t="shared" si="1"/>
        <v>31.298610981953846</v>
      </c>
      <c r="S66">
        <f t="shared" si="7"/>
        <v>90629.312661498698</v>
      </c>
      <c r="T66">
        <f t="shared" si="8"/>
        <v>87187.530504379363</v>
      </c>
      <c r="U66">
        <f t="shared" si="9"/>
        <v>70</v>
      </c>
      <c r="V66">
        <f t="shared" si="10"/>
        <v>80</v>
      </c>
      <c r="W66">
        <f t="shared" si="2"/>
        <v>24771.478678385451</v>
      </c>
      <c r="X66">
        <f t="shared" si="3"/>
        <v>61031.27135306556</v>
      </c>
      <c r="Y66">
        <f t="shared" si="4"/>
        <v>69750.024403503485</v>
      </c>
      <c r="Z66">
        <f t="shared" si="5"/>
        <v>604.182406789889</v>
      </c>
      <c r="AA66">
        <f t="shared" si="6"/>
        <v>4.7191811151270109</v>
      </c>
    </row>
    <row r="67" spans="1:27">
      <c r="A67" s="31"/>
      <c r="B67" s="23">
        <v>40425</v>
      </c>
      <c r="C67" s="24">
        <v>90657</v>
      </c>
      <c r="D67" s="24">
        <v>87186</v>
      </c>
      <c r="E67" s="24">
        <v>38</v>
      </c>
      <c r="F67" s="24">
        <v>78352</v>
      </c>
      <c r="G67" s="24">
        <v>3016.5</v>
      </c>
      <c r="H67" s="24">
        <v>3.2074999809265101</v>
      </c>
      <c r="I67" s="25">
        <v>26654403.333333299</v>
      </c>
      <c r="J67" s="25">
        <v>1980645.25</v>
      </c>
      <c r="K67" s="25"/>
      <c r="L67" s="25">
        <v>371.0810546875</v>
      </c>
      <c r="M67" s="25"/>
      <c r="N67" s="26"/>
      <c r="O67" s="1"/>
      <c r="P67" s="1"/>
      <c r="Q67" s="31"/>
      <c r="R67" s="6">
        <f t="shared" si="1"/>
        <v>32.073858913313401</v>
      </c>
      <c r="S67">
        <f t="shared" si="7"/>
        <v>90629.312661498698</v>
      </c>
      <c r="T67">
        <f t="shared" si="8"/>
        <v>87187.530504379363</v>
      </c>
      <c r="U67">
        <f t="shared" si="9"/>
        <v>70</v>
      </c>
      <c r="V67">
        <f t="shared" si="10"/>
        <v>80</v>
      </c>
      <c r="W67">
        <f t="shared" si="2"/>
        <v>26029.690755208299</v>
      </c>
      <c r="X67">
        <f t="shared" si="3"/>
        <v>61031.27135306556</v>
      </c>
      <c r="Y67">
        <f t="shared" si="4"/>
        <v>69750.024403503485</v>
      </c>
      <c r="Z67">
        <f t="shared" si="5"/>
        <v>684.99186197916572</v>
      </c>
      <c r="AA67">
        <f t="shared" si="6"/>
        <v>3.3273768159105197</v>
      </c>
    </row>
    <row r="68" spans="1:27">
      <c r="A68" s="31"/>
      <c r="B68" s="23">
        <v>40426</v>
      </c>
      <c r="C68" s="24">
        <v>90657</v>
      </c>
      <c r="D68" s="24">
        <v>87168.5</v>
      </c>
      <c r="E68" s="24">
        <v>38</v>
      </c>
      <c r="F68" s="24">
        <v>78352</v>
      </c>
      <c r="G68" s="24">
        <v>3574.3333333333298</v>
      </c>
      <c r="H68" s="24">
        <v>3.80333330233892</v>
      </c>
      <c r="I68" s="25">
        <v>24275680.666666701</v>
      </c>
      <c r="J68" s="25">
        <v>2020597.66666667</v>
      </c>
      <c r="K68" s="25"/>
      <c r="L68" s="25">
        <v>319.8330078125</v>
      </c>
      <c r="M68" s="25"/>
      <c r="N68" s="26"/>
      <c r="O68" s="1"/>
      <c r="P68" s="1"/>
      <c r="Q68" s="31"/>
      <c r="R68" s="6">
        <f t="shared" ref="R68:R94" si="11">(I68+J68)/1024/D68*100</f>
        <v>29.460136757998441</v>
      </c>
      <c r="S68">
        <f t="shared" si="7"/>
        <v>90629.312661498698</v>
      </c>
      <c r="T68">
        <f t="shared" si="8"/>
        <v>87187.530504379363</v>
      </c>
      <c r="U68">
        <f t="shared" si="9"/>
        <v>70</v>
      </c>
      <c r="V68">
        <f t="shared" si="10"/>
        <v>80</v>
      </c>
      <c r="W68">
        <f t="shared" ref="W68:W95" si="12">I68/1024</f>
        <v>23706.719401041701</v>
      </c>
      <c r="X68">
        <f t="shared" ref="X68:X94" si="13">T68*U68/100</f>
        <v>61031.27135306556</v>
      </c>
      <c r="Y68">
        <f t="shared" ref="Y68:Y94" si="14">T68*V68/100</f>
        <v>69750.024403503485</v>
      </c>
      <c r="Z68">
        <f t="shared" ref="Z68:Z94" si="15">W68/E68</f>
        <v>623.86103686951844</v>
      </c>
      <c r="AA68">
        <f t="shared" ref="AA68:AA94" si="16">G68/C68*100</f>
        <v>3.9426997731375737</v>
      </c>
    </row>
    <row r="69" spans="1:27">
      <c r="A69" s="31"/>
      <c r="B69" s="23">
        <v>40427</v>
      </c>
      <c r="C69" s="24">
        <v>90657</v>
      </c>
      <c r="D69" s="24">
        <v>87158</v>
      </c>
      <c r="E69" s="24">
        <v>38</v>
      </c>
      <c r="F69" s="24">
        <v>78352</v>
      </c>
      <c r="G69" s="24">
        <v>3740.25</v>
      </c>
      <c r="H69" s="24">
        <v>3.9791666269302399</v>
      </c>
      <c r="I69" s="25">
        <v>24811587.666666701</v>
      </c>
      <c r="J69" s="25">
        <v>2051877.33333333</v>
      </c>
      <c r="K69" s="25"/>
      <c r="L69" s="25">
        <v>250.1064453125</v>
      </c>
      <c r="M69" s="25"/>
      <c r="N69" s="26"/>
      <c r="O69" s="1"/>
      <c r="P69" s="1"/>
      <c r="Q69" s="31"/>
      <c r="R69" s="6">
        <f t="shared" si="11"/>
        <v>30.099190595312571</v>
      </c>
      <c r="S69">
        <f t="shared" ref="S69:S94" si="17">S68</f>
        <v>90629.312661498698</v>
      </c>
      <c r="T69">
        <f t="shared" ref="T69:T94" si="18">T68</f>
        <v>87187.530504379363</v>
      </c>
      <c r="U69">
        <f t="shared" ref="U69:U94" si="19">U68</f>
        <v>70</v>
      </c>
      <c r="V69">
        <f t="shared" ref="V69:V94" si="20">V68</f>
        <v>80</v>
      </c>
      <c r="W69">
        <f t="shared" si="12"/>
        <v>24230.066080729201</v>
      </c>
      <c r="X69">
        <f t="shared" si="13"/>
        <v>61031.27135306556</v>
      </c>
      <c r="Y69">
        <f t="shared" si="14"/>
        <v>69750.024403503485</v>
      </c>
      <c r="Z69">
        <f t="shared" si="15"/>
        <v>637.63331791392636</v>
      </c>
      <c r="AA69">
        <f t="shared" si="16"/>
        <v>4.125715609384824</v>
      </c>
    </row>
    <row r="70" spans="1:27">
      <c r="A70" s="31"/>
      <c r="B70" s="23">
        <v>40428</v>
      </c>
      <c r="C70" s="24">
        <v>90400</v>
      </c>
      <c r="D70" s="24">
        <v>86500</v>
      </c>
      <c r="E70" s="24">
        <v>42</v>
      </c>
      <c r="F70" s="24">
        <v>81936</v>
      </c>
      <c r="G70" s="24">
        <v>4318.9166666666697</v>
      </c>
      <c r="H70" s="24">
        <v>4.59750000635783</v>
      </c>
      <c r="I70" s="25">
        <v>24921970</v>
      </c>
      <c r="J70" s="25">
        <v>2011085</v>
      </c>
      <c r="K70" s="25">
        <v>813.1259765625</v>
      </c>
      <c r="L70" s="25">
        <v>274.26171875</v>
      </c>
      <c r="M70" s="25"/>
      <c r="N70" s="26"/>
      <c r="O70" s="1"/>
      <c r="P70" s="1"/>
      <c r="Q70" s="31"/>
      <c r="R70" s="6">
        <f t="shared" si="11"/>
        <v>30.4067185242052</v>
      </c>
      <c r="S70">
        <f t="shared" si="17"/>
        <v>90629.312661498698</v>
      </c>
      <c r="T70">
        <f t="shared" si="18"/>
        <v>87187.530504379363</v>
      </c>
      <c r="U70">
        <f t="shared" si="19"/>
        <v>70</v>
      </c>
      <c r="V70">
        <f t="shared" si="20"/>
        <v>80</v>
      </c>
      <c r="W70">
        <f t="shared" si="12"/>
        <v>24337.861328125</v>
      </c>
      <c r="X70">
        <f t="shared" si="13"/>
        <v>61031.27135306556</v>
      </c>
      <c r="Y70">
        <f t="shared" si="14"/>
        <v>69750.024403503485</v>
      </c>
      <c r="Z70">
        <f t="shared" si="15"/>
        <v>579.47288876488096</v>
      </c>
      <c r="AA70">
        <f t="shared" si="16"/>
        <v>4.777562684365785</v>
      </c>
    </row>
    <row r="71" spans="1:27">
      <c r="A71" s="31"/>
      <c r="B71" s="23">
        <v>40429</v>
      </c>
      <c r="C71" s="24">
        <v>91508</v>
      </c>
      <c r="D71" s="24">
        <v>87241.25</v>
      </c>
      <c r="E71" s="24">
        <v>38</v>
      </c>
      <c r="F71" s="24">
        <v>79360</v>
      </c>
      <c r="G71" s="24">
        <v>2887.8333333333298</v>
      </c>
      <c r="H71" s="24">
        <v>3.0716666777928698</v>
      </c>
      <c r="I71" s="25">
        <v>27594742.166666701</v>
      </c>
      <c r="J71" s="25">
        <v>1984714.58333333</v>
      </c>
      <c r="K71" s="25">
        <v>425.0849609375</v>
      </c>
      <c r="L71" s="25">
        <v>62.0029296875</v>
      </c>
      <c r="M71" s="25"/>
      <c r="N71" s="26"/>
      <c r="O71" s="1"/>
      <c r="P71" s="1"/>
      <c r="Q71" s="31"/>
      <c r="R71" s="6">
        <f t="shared" si="11"/>
        <v>33.110699620216245</v>
      </c>
      <c r="S71">
        <f t="shared" si="17"/>
        <v>90629.312661498698</v>
      </c>
      <c r="T71">
        <f t="shared" si="18"/>
        <v>87187.530504379363</v>
      </c>
      <c r="U71">
        <f t="shared" si="19"/>
        <v>70</v>
      </c>
      <c r="V71">
        <f t="shared" si="20"/>
        <v>80</v>
      </c>
      <c r="W71">
        <f t="shared" si="12"/>
        <v>26947.990397135451</v>
      </c>
      <c r="X71">
        <f t="shared" si="13"/>
        <v>61031.27135306556</v>
      </c>
      <c r="Y71">
        <f t="shared" si="14"/>
        <v>69750.024403503485</v>
      </c>
      <c r="Z71">
        <f t="shared" si="15"/>
        <v>709.15764202988032</v>
      </c>
      <c r="AA71">
        <f t="shared" si="16"/>
        <v>3.1558260844224875</v>
      </c>
    </row>
    <row r="72" spans="1:27">
      <c r="A72" s="31"/>
      <c r="B72" s="23">
        <v>40430</v>
      </c>
      <c r="C72" s="24">
        <v>91505</v>
      </c>
      <c r="D72" s="24">
        <v>87232</v>
      </c>
      <c r="E72" s="24">
        <v>41</v>
      </c>
      <c r="F72" s="24">
        <v>80128</v>
      </c>
      <c r="G72" s="24">
        <v>3284.1666666666702</v>
      </c>
      <c r="H72" s="24">
        <v>3.4949999650319401</v>
      </c>
      <c r="I72" s="25">
        <v>31684875.166666701</v>
      </c>
      <c r="J72" s="25">
        <v>2061858.16666667</v>
      </c>
      <c r="K72" s="25">
        <v>1901.1611328125</v>
      </c>
      <c r="L72" s="25">
        <v>191.6181640625</v>
      </c>
      <c r="M72" s="25"/>
      <c r="N72" s="26"/>
      <c r="O72" s="1"/>
      <c r="P72" s="1"/>
      <c r="Q72" s="31"/>
      <c r="R72" s="6">
        <f t="shared" si="11"/>
        <v>37.779478025074944</v>
      </c>
      <c r="S72">
        <f t="shared" si="17"/>
        <v>90629.312661498698</v>
      </c>
      <c r="T72">
        <f t="shared" si="18"/>
        <v>87187.530504379363</v>
      </c>
      <c r="U72">
        <f t="shared" si="19"/>
        <v>70</v>
      </c>
      <c r="V72">
        <f t="shared" si="20"/>
        <v>80</v>
      </c>
      <c r="W72">
        <f t="shared" si="12"/>
        <v>30942.260904947951</v>
      </c>
      <c r="X72">
        <f t="shared" si="13"/>
        <v>61031.27135306556</v>
      </c>
      <c r="Y72">
        <f t="shared" si="14"/>
        <v>69750.024403503485</v>
      </c>
      <c r="Z72">
        <f t="shared" si="15"/>
        <v>754.68929036458417</v>
      </c>
      <c r="AA72">
        <f t="shared" si="16"/>
        <v>3.5890570642770014</v>
      </c>
    </row>
    <row r="73" spans="1:27">
      <c r="A73" s="31"/>
      <c r="B73" s="23">
        <v>40431</v>
      </c>
      <c r="C73" s="24">
        <v>91508</v>
      </c>
      <c r="D73" s="24">
        <v>87204.555555555606</v>
      </c>
      <c r="E73" s="24">
        <v>41</v>
      </c>
      <c r="F73" s="24">
        <v>80128</v>
      </c>
      <c r="G73" s="24">
        <v>2876</v>
      </c>
      <c r="H73" s="24">
        <v>3.0599999957614501</v>
      </c>
      <c r="I73" s="25">
        <v>35841988.444444403</v>
      </c>
      <c r="J73" s="25">
        <v>2186110.3333333302</v>
      </c>
      <c r="K73" s="25">
        <v>1763.251953125</v>
      </c>
      <c r="L73" s="25">
        <v>147.6689453125</v>
      </c>
      <c r="M73" s="25"/>
      <c r="N73" s="26"/>
      <c r="O73" s="1"/>
      <c r="P73" s="1"/>
      <c r="Q73" s="31"/>
      <c r="R73" s="6">
        <f t="shared" si="11"/>
        <v>42.585866043448533</v>
      </c>
      <c r="S73">
        <f t="shared" si="17"/>
        <v>90629.312661498698</v>
      </c>
      <c r="T73">
        <f t="shared" si="18"/>
        <v>87187.530504379363</v>
      </c>
      <c r="U73">
        <f t="shared" si="19"/>
        <v>70</v>
      </c>
      <c r="V73">
        <f t="shared" si="20"/>
        <v>80</v>
      </c>
      <c r="W73">
        <f t="shared" si="12"/>
        <v>35001.941840277737</v>
      </c>
      <c r="X73">
        <f t="shared" si="13"/>
        <v>61031.27135306556</v>
      </c>
      <c r="Y73">
        <f t="shared" si="14"/>
        <v>69750.024403503485</v>
      </c>
      <c r="Z73">
        <f t="shared" si="15"/>
        <v>853.70589854335947</v>
      </c>
      <c r="AA73">
        <f t="shared" si="16"/>
        <v>3.1428946103072954</v>
      </c>
    </row>
    <row r="74" spans="1:27">
      <c r="A74" s="31"/>
      <c r="B74" s="23">
        <v>40432</v>
      </c>
      <c r="C74" s="24"/>
      <c r="D74" s="24"/>
      <c r="E74" s="24"/>
      <c r="F74" s="24"/>
      <c r="G74" s="24"/>
      <c r="H74" s="24"/>
      <c r="I74" s="25"/>
      <c r="J74" s="25"/>
      <c r="K74" s="25"/>
      <c r="L74" s="25"/>
      <c r="M74" s="25"/>
      <c r="N74" s="26"/>
      <c r="O74" s="1"/>
      <c r="P74" s="1"/>
      <c r="Q74" s="31"/>
      <c r="R74" s="6" t="e">
        <f t="shared" si="11"/>
        <v>#DIV/0!</v>
      </c>
      <c r="S74">
        <f t="shared" si="17"/>
        <v>90629.312661498698</v>
      </c>
      <c r="T74">
        <f t="shared" si="18"/>
        <v>87187.530504379363</v>
      </c>
      <c r="U74">
        <f t="shared" si="19"/>
        <v>70</v>
      </c>
      <c r="V74">
        <f t="shared" si="20"/>
        <v>80</v>
      </c>
      <c r="W74">
        <f t="shared" si="12"/>
        <v>0</v>
      </c>
      <c r="X74">
        <f t="shared" si="13"/>
        <v>61031.27135306556</v>
      </c>
      <c r="Y74">
        <f t="shared" si="14"/>
        <v>69750.024403503485</v>
      </c>
      <c r="Z74" t="e">
        <f t="shared" si="15"/>
        <v>#DIV/0!</v>
      </c>
      <c r="AA74" t="e">
        <f t="shared" si="16"/>
        <v>#DIV/0!</v>
      </c>
    </row>
    <row r="75" spans="1:27">
      <c r="A75" s="31"/>
      <c r="B75" s="23">
        <v>40433</v>
      </c>
      <c r="C75" s="24"/>
      <c r="D75" s="24"/>
      <c r="E75" s="24"/>
      <c r="F75" s="24"/>
      <c r="G75" s="24"/>
      <c r="H75" s="24"/>
      <c r="I75" s="25"/>
      <c r="J75" s="25"/>
      <c r="K75" s="25"/>
      <c r="L75" s="25"/>
      <c r="M75" s="25"/>
      <c r="N75" s="26"/>
      <c r="O75" s="1"/>
      <c r="P75" s="1"/>
      <c r="Q75" s="31"/>
      <c r="R75" s="6" t="e">
        <f t="shared" si="11"/>
        <v>#DIV/0!</v>
      </c>
      <c r="S75">
        <f t="shared" si="17"/>
        <v>90629.312661498698</v>
      </c>
      <c r="T75">
        <f t="shared" si="18"/>
        <v>87187.530504379363</v>
      </c>
      <c r="U75">
        <f t="shared" si="19"/>
        <v>70</v>
      </c>
      <c r="V75">
        <f t="shared" si="20"/>
        <v>80</v>
      </c>
      <c r="W75">
        <f t="shared" si="12"/>
        <v>0</v>
      </c>
      <c r="X75">
        <f t="shared" si="13"/>
        <v>61031.27135306556</v>
      </c>
      <c r="Y75">
        <f t="shared" si="14"/>
        <v>69750.024403503485</v>
      </c>
      <c r="Z75" t="e">
        <f t="shared" si="15"/>
        <v>#DIV/0!</v>
      </c>
      <c r="AA75" t="e">
        <f t="shared" si="16"/>
        <v>#DIV/0!</v>
      </c>
    </row>
    <row r="76" spans="1:27">
      <c r="A76" s="31"/>
      <c r="B76" s="23">
        <v>40434</v>
      </c>
      <c r="C76" s="24">
        <v>91466.5</v>
      </c>
      <c r="D76" s="24">
        <v>87342.333333333299</v>
      </c>
      <c r="E76" s="24">
        <v>35</v>
      </c>
      <c r="F76" s="24">
        <v>69408</v>
      </c>
      <c r="G76" s="24">
        <v>3508.8333333333298</v>
      </c>
      <c r="H76" s="24">
        <v>3.7350000937779702</v>
      </c>
      <c r="I76" s="25">
        <v>35278116.666666701</v>
      </c>
      <c r="J76" s="25">
        <v>1827458.83333333</v>
      </c>
      <c r="K76" s="25"/>
      <c r="L76" s="25">
        <v>48.109375</v>
      </c>
      <c r="M76" s="25"/>
      <c r="N76" s="26"/>
      <c r="O76" s="1"/>
      <c r="P76" s="1"/>
      <c r="Q76" s="31"/>
      <c r="R76" s="6">
        <f t="shared" si="11"/>
        <v>41.487228691186935</v>
      </c>
      <c r="S76">
        <f t="shared" si="17"/>
        <v>90629.312661498698</v>
      </c>
      <c r="T76">
        <f t="shared" si="18"/>
        <v>87187.530504379363</v>
      </c>
      <c r="U76">
        <f t="shared" si="19"/>
        <v>70</v>
      </c>
      <c r="V76">
        <f t="shared" si="20"/>
        <v>80</v>
      </c>
      <c r="W76">
        <f t="shared" si="12"/>
        <v>34451.285807291701</v>
      </c>
      <c r="X76">
        <f t="shared" si="13"/>
        <v>61031.27135306556</v>
      </c>
      <c r="Y76">
        <f t="shared" si="14"/>
        <v>69750.024403503485</v>
      </c>
      <c r="Z76">
        <f t="shared" si="15"/>
        <v>984.32245163690573</v>
      </c>
      <c r="AA76">
        <f t="shared" si="16"/>
        <v>3.8361950367985327</v>
      </c>
    </row>
    <row r="77" spans="1:27">
      <c r="A77" s="31"/>
      <c r="B77" s="23">
        <v>40435</v>
      </c>
      <c r="C77" s="24">
        <v>90392.916666666701</v>
      </c>
      <c r="D77" s="24">
        <v>86280</v>
      </c>
      <c r="E77" s="24">
        <v>49</v>
      </c>
      <c r="F77" s="24">
        <v>95264</v>
      </c>
      <c r="G77" s="24">
        <v>3730.3333333333298</v>
      </c>
      <c r="H77" s="24">
        <v>3.97000000874201</v>
      </c>
      <c r="I77" s="25">
        <v>40280471.833333299</v>
      </c>
      <c r="J77" s="25">
        <v>2186257.5</v>
      </c>
      <c r="K77" s="25">
        <v>165.36328125</v>
      </c>
      <c r="L77" s="25">
        <v>214.32421875</v>
      </c>
      <c r="M77" s="25"/>
      <c r="N77" s="26"/>
      <c r="O77" s="1"/>
      <c r="P77" s="1"/>
      <c r="Q77" s="31"/>
      <c r="R77" s="6">
        <f t="shared" si="11"/>
        <v>48.066081785562467</v>
      </c>
      <c r="S77">
        <f t="shared" si="17"/>
        <v>90629.312661498698</v>
      </c>
      <c r="T77">
        <f t="shared" si="18"/>
        <v>87187.530504379363</v>
      </c>
      <c r="U77">
        <f t="shared" si="19"/>
        <v>70</v>
      </c>
      <c r="V77">
        <f t="shared" si="20"/>
        <v>80</v>
      </c>
      <c r="W77">
        <f t="shared" si="12"/>
        <v>39336.398274739549</v>
      </c>
      <c r="X77">
        <f t="shared" si="13"/>
        <v>61031.27135306556</v>
      </c>
      <c r="Y77">
        <f t="shared" si="14"/>
        <v>69750.024403503485</v>
      </c>
      <c r="Z77">
        <f t="shared" si="15"/>
        <v>802.78363825999077</v>
      </c>
      <c r="AA77">
        <f t="shared" si="16"/>
        <v>4.1267982834200634</v>
      </c>
    </row>
    <row r="78" spans="1:27">
      <c r="A78" s="31"/>
      <c r="B78" s="23">
        <v>40436</v>
      </c>
      <c r="C78" s="24">
        <v>91508</v>
      </c>
      <c r="D78" s="24">
        <v>87320</v>
      </c>
      <c r="E78" s="24">
        <v>49</v>
      </c>
      <c r="F78" s="24">
        <v>96288</v>
      </c>
      <c r="G78" s="24">
        <v>4453.5833333333303</v>
      </c>
      <c r="H78" s="24">
        <v>4.7408333619435599</v>
      </c>
      <c r="I78" s="25">
        <v>44632290.333333299</v>
      </c>
      <c r="J78" s="25">
        <v>2716395.4166666698</v>
      </c>
      <c r="K78" s="25">
        <v>138.90234375</v>
      </c>
      <c r="L78" s="25">
        <v>95.87890625</v>
      </c>
      <c r="M78" s="25"/>
      <c r="N78" s="26"/>
      <c r="O78" s="1"/>
      <c r="P78" s="1"/>
      <c r="Q78" s="31"/>
      <c r="R78" s="6">
        <f t="shared" si="11"/>
        <v>52.953448153612392</v>
      </c>
      <c r="S78">
        <f t="shared" si="17"/>
        <v>90629.312661498698</v>
      </c>
      <c r="T78">
        <f t="shared" si="18"/>
        <v>87187.530504379363</v>
      </c>
      <c r="U78">
        <f t="shared" si="19"/>
        <v>70</v>
      </c>
      <c r="V78">
        <f t="shared" si="20"/>
        <v>80</v>
      </c>
      <c r="W78">
        <f t="shared" si="12"/>
        <v>43586.221028645799</v>
      </c>
      <c r="X78">
        <f t="shared" si="13"/>
        <v>61031.27135306556</v>
      </c>
      <c r="Y78">
        <f t="shared" si="14"/>
        <v>69750.024403503485</v>
      </c>
      <c r="Z78">
        <f t="shared" si="15"/>
        <v>889.51471487032245</v>
      </c>
      <c r="AA78">
        <f t="shared" si="16"/>
        <v>4.8668786699887772</v>
      </c>
    </row>
    <row r="79" spans="1:27">
      <c r="A79" s="31"/>
      <c r="B79" s="23">
        <v>40437</v>
      </c>
      <c r="C79" s="24">
        <v>91508</v>
      </c>
      <c r="D79" s="24">
        <v>87320</v>
      </c>
      <c r="E79" s="24">
        <v>50</v>
      </c>
      <c r="F79" s="24">
        <v>95776</v>
      </c>
      <c r="G79" s="24">
        <v>4397</v>
      </c>
      <c r="H79" s="24">
        <v>4.6785714285714297</v>
      </c>
      <c r="I79" s="25">
        <v>45986890.857142903</v>
      </c>
      <c r="J79" s="25">
        <v>2843984.57142857</v>
      </c>
      <c r="K79" s="25">
        <v>229.1708984375</v>
      </c>
      <c r="L79" s="25">
        <v>57.1962890625</v>
      </c>
      <c r="M79" s="25"/>
      <c r="N79" s="26"/>
      <c r="O79" s="1"/>
      <c r="P79" s="1"/>
      <c r="Q79" s="31"/>
      <c r="R79" s="6">
        <f t="shared" si="11"/>
        <v>54.611087706956397</v>
      </c>
      <c r="S79">
        <f t="shared" si="17"/>
        <v>90629.312661498698</v>
      </c>
      <c r="T79">
        <f t="shared" si="18"/>
        <v>87187.530504379363</v>
      </c>
      <c r="U79">
        <f t="shared" si="19"/>
        <v>70</v>
      </c>
      <c r="V79">
        <f t="shared" si="20"/>
        <v>80</v>
      </c>
      <c r="W79">
        <f t="shared" si="12"/>
        <v>44909.073102678616</v>
      </c>
      <c r="X79">
        <f t="shared" si="13"/>
        <v>61031.27135306556</v>
      </c>
      <c r="Y79">
        <f t="shared" si="14"/>
        <v>69750.024403503485</v>
      </c>
      <c r="Z79">
        <f t="shared" si="15"/>
        <v>898.18146205357232</v>
      </c>
      <c r="AA79">
        <f t="shared" si="16"/>
        <v>4.8050443677055554</v>
      </c>
    </row>
    <row r="80" spans="1:27">
      <c r="A80" s="31"/>
      <c r="B80" s="23">
        <v>40438</v>
      </c>
      <c r="C80" s="24">
        <v>91508</v>
      </c>
      <c r="D80" s="24">
        <v>87320.857142857101</v>
      </c>
      <c r="E80" s="24">
        <v>52</v>
      </c>
      <c r="F80" s="24">
        <v>95808</v>
      </c>
      <c r="G80" s="24">
        <v>4516.1428571428596</v>
      </c>
      <c r="H80" s="24">
        <v>4.8057142666408001</v>
      </c>
      <c r="I80" s="25">
        <v>46681979.428571403</v>
      </c>
      <c r="J80" s="25">
        <v>2884876.57142857</v>
      </c>
      <c r="K80" s="25">
        <v>470.40234375</v>
      </c>
      <c r="L80" s="25">
        <v>54.9765625</v>
      </c>
      <c r="M80" s="25"/>
      <c r="N80" s="26"/>
      <c r="O80" s="1"/>
      <c r="P80" s="1"/>
      <c r="Q80" s="31"/>
      <c r="R80" s="6">
        <f t="shared" si="11"/>
        <v>55.433643686420844</v>
      </c>
      <c r="S80">
        <f t="shared" si="17"/>
        <v>90629.312661498698</v>
      </c>
      <c r="T80">
        <f t="shared" si="18"/>
        <v>87187.530504379363</v>
      </c>
      <c r="U80">
        <f t="shared" si="19"/>
        <v>70</v>
      </c>
      <c r="V80">
        <f t="shared" si="20"/>
        <v>80</v>
      </c>
      <c r="W80">
        <f t="shared" si="12"/>
        <v>45587.870535714261</v>
      </c>
      <c r="X80">
        <f t="shared" si="13"/>
        <v>61031.27135306556</v>
      </c>
      <c r="Y80">
        <f t="shared" si="14"/>
        <v>69750.024403503485</v>
      </c>
      <c r="Z80">
        <f t="shared" si="15"/>
        <v>876.68981799450501</v>
      </c>
      <c r="AA80">
        <f t="shared" si="16"/>
        <v>4.9352437569861216</v>
      </c>
    </row>
    <row r="81" spans="1:27">
      <c r="A81" s="31"/>
      <c r="B81" s="23">
        <v>40439</v>
      </c>
      <c r="C81" s="24">
        <v>91508</v>
      </c>
      <c r="D81" s="24">
        <v>87323.666666666701</v>
      </c>
      <c r="E81" s="24">
        <v>51</v>
      </c>
      <c r="F81" s="24">
        <v>99872</v>
      </c>
      <c r="G81" s="24">
        <v>4045.3333333333298</v>
      </c>
      <c r="H81" s="24">
        <v>4.3058332602183</v>
      </c>
      <c r="I81" s="25">
        <v>47626105.333333299</v>
      </c>
      <c r="J81" s="25">
        <v>2906221.3333333302</v>
      </c>
      <c r="K81" s="25">
        <v>193.75390625</v>
      </c>
      <c r="L81" s="25">
        <v>48.5244140625</v>
      </c>
      <c r="M81" s="25"/>
      <c r="N81" s="26"/>
      <c r="O81" s="1"/>
      <c r="P81" s="1"/>
      <c r="Q81" s="31"/>
      <c r="R81" s="6">
        <f t="shared" si="11"/>
        <v>56.511570281157006</v>
      </c>
      <c r="S81">
        <f t="shared" si="17"/>
        <v>90629.312661498698</v>
      </c>
      <c r="T81">
        <f t="shared" si="18"/>
        <v>87187.530504379363</v>
      </c>
      <c r="U81">
        <f t="shared" si="19"/>
        <v>70</v>
      </c>
      <c r="V81">
        <f t="shared" si="20"/>
        <v>80</v>
      </c>
      <c r="W81">
        <f t="shared" si="12"/>
        <v>46509.868489583299</v>
      </c>
      <c r="X81">
        <f t="shared" si="13"/>
        <v>61031.27135306556</v>
      </c>
      <c r="Y81">
        <f t="shared" si="14"/>
        <v>69750.024403503485</v>
      </c>
      <c r="Z81">
        <f t="shared" si="15"/>
        <v>911.95820567810392</v>
      </c>
      <c r="AA81">
        <f t="shared" si="16"/>
        <v>4.4207428130145239</v>
      </c>
    </row>
    <row r="82" spans="1:27">
      <c r="A82" s="31"/>
      <c r="B82" s="23">
        <v>40440</v>
      </c>
      <c r="C82" s="24">
        <v>91508</v>
      </c>
      <c r="D82" s="24">
        <v>87325</v>
      </c>
      <c r="E82" s="24">
        <v>50</v>
      </c>
      <c r="F82" s="24">
        <v>98848</v>
      </c>
      <c r="G82" s="24">
        <v>4010.6666666666702</v>
      </c>
      <c r="H82" s="24">
        <v>4.2674999634424804</v>
      </c>
      <c r="I82" s="25">
        <v>48220036.333333299</v>
      </c>
      <c r="J82" s="25">
        <v>2920317.8333333302</v>
      </c>
      <c r="K82" s="25">
        <v>236.46484375</v>
      </c>
      <c r="L82" s="25">
        <v>47.94140625</v>
      </c>
      <c r="M82" s="25"/>
      <c r="N82" s="26"/>
      <c r="O82" s="1"/>
      <c r="P82" s="1"/>
      <c r="Q82" s="31"/>
      <c r="R82" s="6">
        <f t="shared" si="11"/>
        <v>57.190669471383195</v>
      </c>
      <c r="S82">
        <f t="shared" si="17"/>
        <v>90629.312661498698</v>
      </c>
      <c r="T82">
        <f t="shared" si="18"/>
        <v>87187.530504379363</v>
      </c>
      <c r="U82">
        <f t="shared" si="19"/>
        <v>70</v>
      </c>
      <c r="V82">
        <f t="shared" si="20"/>
        <v>80</v>
      </c>
      <c r="W82">
        <f t="shared" si="12"/>
        <v>47089.879231770799</v>
      </c>
      <c r="X82">
        <f t="shared" si="13"/>
        <v>61031.27135306556</v>
      </c>
      <c r="Y82">
        <f t="shared" si="14"/>
        <v>69750.024403503485</v>
      </c>
      <c r="Z82">
        <f t="shared" si="15"/>
        <v>941.797584635416</v>
      </c>
      <c r="AA82">
        <f t="shared" si="16"/>
        <v>4.3828590578601538</v>
      </c>
    </row>
    <row r="83" spans="1:27">
      <c r="A83" s="31"/>
      <c r="B83" s="23">
        <v>40441</v>
      </c>
      <c r="C83" s="24">
        <v>91508</v>
      </c>
      <c r="D83" s="24">
        <v>87324.583333333299</v>
      </c>
      <c r="E83" s="24">
        <v>51</v>
      </c>
      <c r="F83" s="24">
        <v>99872</v>
      </c>
      <c r="G83" s="24">
        <v>4094.9166666666702</v>
      </c>
      <c r="H83" s="24">
        <v>4.3583333293596898</v>
      </c>
      <c r="I83" s="25">
        <v>47289632</v>
      </c>
      <c r="J83" s="25">
        <v>2496356.9166666698</v>
      </c>
      <c r="K83" s="25">
        <v>246.17578125</v>
      </c>
      <c r="L83" s="25">
        <v>36.10546875</v>
      </c>
      <c r="M83" s="25"/>
      <c r="N83" s="26"/>
      <c r="O83" s="1"/>
      <c r="P83" s="1"/>
      <c r="Q83" s="31"/>
      <c r="R83" s="6">
        <f t="shared" si="11"/>
        <v>55.676337573629773</v>
      </c>
      <c r="S83">
        <f t="shared" si="17"/>
        <v>90629.312661498698</v>
      </c>
      <c r="T83">
        <f t="shared" si="18"/>
        <v>87187.530504379363</v>
      </c>
      <c r="U83">
        <f t="shared" si="19"/>
        <v>70</v>
      </c>
      <c r="V83">
        <f t="shared" si="20"/>
        <v>80</v>
      </c>
      <c r="W83">
        <f t="shared" si="12"/>
        <v>46181.28125</v>
      </c>
      <c r="X83">
        <f t="shared" si="13"/>
        <v>61031.27135306556</v>
      </c>
      <c r="Y83">
        <f t="shared" si="14"/>
        <v>69750.024403503485</v>
      </c>
      <c r="Z83">
        <f t="shared" si="15"/>
        <v>905.51531862745094</v>
      </c>
      <c r="AA83">
        <f t="shared" si="16"/>
        <v>4.4749275108915834</v>
      </c>
    </row>
    <row r="84" spans="1:27">
      <c r="A84" s="31"/>
      <c r="B84" s="23">
        <v>40442</v>
      </c>
      <c r="C84" s="24">
        <v>90872.5</v>
      </c>
      <c r="D84" s="24">
        <v>86714.5</v>
      </c>
      <c r="E84" s="24">
        <v>42</v>
      </c>
      <c r="F84" s="24">
        <v>101408</v>
      </c>
      <c r="G84" s="24">
        <v>4015.8333333333298</v>
      </c>
      <c r="H84" s="24">
        <v>4.2741666634877502</v>
      </c>
      <c r="I84" s="25">
        <v>50504245.333333299</v>
      </c>
      <c r="J84" s="25">
        <v>2341675.25</v>
      </c>
      <c r="K84" s="25">
        <v>255.7216796875</v>
      </c>
      <c r="L84" s="25">
        <v>35.5908203125</v>
      </c>
      <c r="M84" s="25"/>
      <c r="N84" s="26"/>
      <c r="O84" s="1"/>
      <c r="P84" s="1"/>
      <c r="Q84" s="31"/>
      <c r="R84" s="6">
        <f t="shared" si="11"/>
        <v>59.514088554580169</v>
      </c>
      <c r="S84">
        <f t="shared" si="17"/>
        <v>90629.312661498698</v>
      </c>
      <c r="T84">
        <f t="shared" si="18"/>
        <v>87187.530504379363</v>
      </c>
      <c r="U84">
        <f t="shared" si="19"/>
        <v>70</v>
      </c>
      <c r="V84">
        <f t="shared" si="20"/>
        <v>80</v>
      </c>
      <c r="W84">
        <f t="shared" si="12"/>
        <v>49320.552083333299</v>
      </c>
      <c r="X84">
        <f t="shared" si="13"/>
        <v>61031.27135306556</v>
      </c>
      <c r="Y84">
        <f t="shared" si="14"/>
        <v>69750.024403503485</v>
      </c>
      <c r="Z84">
        <f t="shared" si="15"/>
        <v>1174.2988591269834</v>
      </c>
      <c r="AA84">
        <f t="shared" si="16"/>
        <v>4.41919539281227</v>
      </c>
    </row>
    <row r="85" spans="1:27">
      <c r="A85" s="31"/>
      <c r="B85" s="23">
        <v>40443</v>
      </c>
      <c r="C85" s="24">
        <v>91508</v>
      </c>
      <c r="D85" s="24">
        <v>87317.833333333299</v>
      </c>
      <c r="E85" s="24">
        <v>42</v>
      </c>
      <c r="F85" s="24">
        <v>102432</v>
      </c>
      <c r="G85" s="24">
        <v>3172.8333333333298</v>
      </c>
      <c r="H85" s="24">
        <v>3.3774999777476</v>
      </c>
      <c r="I85" s="25">
        <v>64983287.333333299</v>
      </c>
      <c r="J85" s="25">
        <v>2457802.3333333302</v>
      </c>
      <c r="K85" s="25">
        <v>337.4990234375</v>
      </c>
      <c r="L85" s="25">
        <v>18.8125</v>
      </c>
      <c r="M85" s="25"/>
      <c r="N85" s="26"/>
      <c r="O85" s="1"/>
      <c r="P85" s="1"/>
      <c r="Q85" s="31"/>
      <c r="R85" s="6">
        <f t="shared" si="11"/>
        <v>75.426103252223186</v>
      </c>
      <c r="S85">
        <f t="shared" si="17"/>
        <v>90629.312661498698</v>
      </c>
      <c r="T85">
        <f t="shared" si="18"/>
        <v>87187.530504379363</v>
      </c>
      <c r="U85">
        <f t="shared" si="19"/>
        <v>70</v>
      </c>
      <c r="V85">
        <f t="shared" si="20"/>
        <v>80</v>
      </c>
      <c r="W85">
        <f t="shared" si="12"/>
        <v>63460.241536458299</v>
      </c>
      <c r="X85">
        <f t="shared" si="13"/>
        <v>61031.27135306556</v>
      </c>
      <c r="Y85">
        <f t="shared" si="14"/>
        <v>69750.024403503485</v>
      </c>
      <c r="Z85">
        <f t="shared" si="15"/>
        <v>1510.9581318204357</v>
      </c>
      <c r="AA85">
        <f t="shared" si="16"/>
        <v>3.4672742638166385</v>
      </c>
    </row>
    <row r="86" spans="1:27">
      <c r="A86" s="31"/>
      <c r="B86" s="23">
        <v>40444</v>
      </c>
      <c r="C86" s="24">
        <v>91508</v>
      </c>
      <c r="D86" s="24">
        <v>87317</v>
      </c>
      <c r="E86" s="24">
        <v>40</v>
      </c>
      <c r="F86" s="24">
        <v>100384</v>
      </c>
      <c r="G86" s="24">
        <v>3008.4166666666702</v>
      </c>
      <c r="H86" s="24">
        <v>3.19999996821086</v>
      </c>
      <c r="I86" s="25">
        <v>65175327.666666701</v>
      </c>
      <c r="J86" s="25">
        <v>2476480.5</v>
      </c>
      <c r="K86" s="25">
        <v>332.6943359375</v>
      </c>
      <c r="L86" s="25">
        <v>18.421875</v>
      </c>
      <c r="M86" s="25"/>
      <c r="N86" s="26"/>
      <c r="O86" s="1"/>
      <c r="P86" s="1"/>
      <c r="Q86" s="31"/>
      <c r="R86" s="6">
        <f t="shared" si="11"/>
        <v>75.662492885418018</v>
      </c>
      <c r="S86">
        <f t="shared" si="17"/>
        <v>90629.312661498698</v>
      </c>
      <c r="T86">
        <f t="shared" si="18"/>
        <v>87187.530504379363</v>
      </c>
      <c r="U86">
        <f t="shared" si="19"/>
        <v>70</v>
      </c>
      <c r="V86">
        <f t="shared" si="20"/>
        <v>80</v>
      </c>
      <c r="W86">
        <f t="shared" si="12"/>
        <v>63647.780924479201</v>
      </c>
      <c r="X86">
        <f t="shared" si="13"/>
        <v>61031.27135306556</v>
      </c>
      <c r="Y86">
        <f t="shared" si="14"/>
        <v>69750.024403503485</v>
      </c>
      <c r="Z86">
        <f t="shared" si="15"/>
        <v>1591.1945231119801</v>
      </c>
      <c r="AA86">
        <f t="shared" si="16"/>
        <v>3.2875996269907226</v>
      </c>
    </row>
    <row r="87" spans="1:27">
      <c r="A87" s="31"/>
      <c r="B87" s="23">
        <v>40445</v>
      </c>
      <c r="C87" s="24">
        <v>91508</v>
      </c>
      <c r="D87" s="24">
        <v>87319.583333333299</v>
      </c>
      <c r="E87" s="24">
        <v>44</v>
      </c>
      <c r="F87" s="24">
        <v>111648</v>
      </c>
      <c r="G87" s="24">
        <v>3412.1666666666702</v>
      </c>
      <c r="H87" s="24">
        <v>3.6291666626930201</v>
      </c>
      <c r="I87" s="25">
        <v>66747949.666666701</v>
      </c>
      <c r="J87" s="25">
        <v>2566744.75</v>
      </c>
      <c r="K87" s="25">
        <v>601.193359375</v>
      </c>
      <c r="L87" s="25">
        <v>127.42578125</v>
      </c>
      <c r="M87" s="25"/>
      <c r="N87" s="26"/>
      <c r="O87" s="1"/>
      <c r="P87" s="1"/>
      <c r="Q87" s="31"/>
      <c r="R87" s="6">
        <f t="shared" si="11"/>
        <v>77.519988852759568</v>
      </c>
      <c r="S87">
        <f t="shared" si="17"/>
        <v>90629.312661498698</v>
      </c>
      <c r="T87">
        <f t="shared" si="18"/>
        <v>87187.530504379363</v>
      </c>
      <c r="U87">
        <f t="shared" si="19"/>
        <v>70</v>
      </c>
      <c r="V87">
        <f t="shared" si="20"/>
        <v>80</v>
      </c>
      <c r="W87">
        <f t="shared" si="12"/>
        <v>65183.544596354201</v>
      </c>
      <c r="X87">
        <f t="shared" si="13"/>
        <v>61031.27135306556</v>
      </c>
      <c r="Y87">
        <f t="shared" si="14"/>
        <v>69750.024403503485</v>
      </c>
      <c r="Z87">
        <f t="shared" si="15"/>
        <v>1481.4441953716864</v>
      </c>
      <c r="AA87">
        <f t="shared" si="16"/>
        <v>3.7288178811324366</v>
      </c>
    </row>
    <row r="88" spans="1:27">
      <c r="A88" s="31"/>
      <c r="B88" s="23">
        <v>40446</v>
      </c>
      <c r="C88" s="24">
        <v>91508</v>
      </c>
      <c r="D88" s="24">
        <v>87335</v>
      </c>
      <c r="E88" s="24">
        <v>41</v>
      </c>
      <c r="F88" s="24">
        <v>107552</v>
      </c>
      <c r="G88" s="24">
        <v>4084.8333333333298</v>
      </c>
      <c r="H88" s="24">
        <v>4.3483333190282201</v>
      </c>
      <c r="I88" s="25">
        <v>66634416</v>
      </c>
      <c r="J88" s="25">
        <v>2639365.6666666698</v>
      </c>
      <c r="K88" s="25">
        <v>994.5244140625</v>
      </c>
      <c r="L88" s="25">
        <v>219.0625</v>
      </c>
      <c r="M88" s="25"/>
      <c r="N88" s="26"/>
      <c r="O88" s="1"/>
      <c r="P88" s="1"/>
      <c r="Q88" s="31"/>
      <c r="R88" s="6">
        <f t="shared" si="11"/>
        <v>77.460556946074504</v>
      </c>
      <c r="S88">
        <f t="shared" si="17"/>
        <v>90629.312661498698</v>
      </c>
      <c r="T88">
        <f t="shared" si="18"/>
        <v>87187.530504379363</v>
      </c>
      <c r="U88">
        <f t="shared" si="19"/>
        <v>70</v>
      </c>
      <c r="V88">
        <f t="shared" si="20"/>
        <v>80</v>
      </c>
      <c r="W88">
        <f t="shared" si="12"/>
        <v>65072.671875</v>
      </c>
      <c r="X88">
        <f t="shared" si="13"/>
        <v>61031.27135306556</v>
      </c>
      <c r="Y88">
        <f t="shared" si="14"/>
        <v>69750.024403503485</v>
      </c>
      <c r="Z88">
        <f t="shared" si="15"/>
        <v>1587.1383384146341</v>
      </c>
      <c r="AA88">
        <f t="shared" si="16"/>
        <v>4.4639084378779232</v>
      </c>
    </row>
    <row r="89" spans="1:27">
      <c r="A89" s="31"/>
      <c r="B89" s="23">
        <v>40447</v>
      </c>
      <c r="C89" s="24">
        <v>91508</v>
      </c>
      <c r="D89" s="24">
        <v>87335</v>
      </c>
      <c r="E89" s="24">
        <v>41</v>
      </c>
      <c r="F89" s="24">
        <v>107552</v>
      </c>
      <c r="G89" s="24">
        <v>4074.5833333333298</v>
      </c>
      <c r="H89" s="24">
        <v>4.3358333508173601</v>
      </c>
      <c r="I89" s="25">
        <v>65342336</v>
      </c>
      <c r="J89" s="25">
        <v>2672268.9166666698</v>
      </c>
      <c r="K89" s="25">
        <v>252.4404296875</v>
      </c>
      <c r="L89" s="25">
        <v>173.5576171875</v>
      </c>
      <c r="M89" s="25"/>
      <c r="N89" s="26"/>
      <c r="O89" s="1"/>
      <c r="P89" s="1"/>
      <c r="Q89" s="31"/>
      <c r="R89" s="6">
        <f t="shared" si="11"/>
        <v>76.052570692084842</v>
      </c>
      <c r="S89">
        <f t="shared" si="17"/>
        <v>90629.312661498698</v>
      </c>
      <c r="T89">
        <f t="shared" si="18"/>
        <v>87187.530504379363</v>
      </c>
      <c r="U89">
        <f t="shared" si="19"/>
        <v>70</v>
      </c>
      <c r="V89">
        <f t="shared" si="20"/>
        <v>80</v>
      </c>
      <c r="W89">
        <f t="shared" si="12"/>
        <v>63810.875</v>
      </c>
      <c r="X89">
        <f t="shared" si="13"/>
        <v>61031.27135306556</v>
      </c>
      <c r="Y89">
        <f t="shared" si="14"/>
        <v>69750.024403503485</v>
      </c>
      <c r="Z89">
        <f t="shared" si="15"/>
        <v>1556.3628048780488</v>
      </c>
      <c r="AA89">
        <f t="shared" si="16"/>
        <v>4.4527072314260279</v>
      </c>
    </row>
    <row r="90" spans="1:27">
      <c r="A90" s="31"/>
      <c r="B90" s="23">
        <v>40448</v>
      </c>
      <c r="C90" s="24">
        <v>91508</v>
      </c>
      <c r="D90" s="24">
        <v>87334.833333333299</v>
      </c>
      <c r="E90" s="24">
        <v>41</v>
      </c>
      <c r="F90" s="24">
        <v>107552</v>
      </c>
      <c r="G90" s="24">
        <v>3898.5</v>
      </c>
      <c r="H90" s="24">
        <v>4.1500000158945696</v>
      </c>
      <c r="I90" s="25">
        <v>64584681.333333299</v>
      </c>
      <c r="J90" s="25">
        <v>2667806.5833333302</v>
      </c>
      <c r="K90" s="25">
        <v>233.0576171875</v>
      </c>
      <c r="L90" s="25">
        <v>167.0244140625</v>
      </c>
      <c r="M90" s="25"/>
      <c r="N90" s="26"/>
      <c r="O90" s="1"/>
      <c r="P90" s="1"/>
      <c r="Q90" s="31"/>
      <c r="R90" s="6">
        <f t="shared" si="11"/>
        <v>75.20053021736625</v>
      </c>
      <c r="S90">
        <f t="shared" si="17"/>
        <v>90629.312661498698</v>
      </c>
      <c r="T90">
        <f t="shared" si="18"/>
        <v>87187.530504379363</v>
      </c>
      <c r="U90">
        <f t="shared" si="19"/>
        <v>70</v>
      </c>
      <c r="V90">
        <f t="shared" si="20"/>
        <v>80</v>
      </c>
      <c r="W90">
        <f t="shared" si="12"/>
        <v>63070.977864583299</v>
      </c>
      <c r="X90">
        <f t="shared" si="13"/>
        <v>61031.27135306556</v>
      </c>
      <c r="Y90">
        <f t="shared" si="14"/>
        <v>69750.024403503485</v>
      </c>
      <c r="Z90">
        <f t="shared" si="15"/>
        <v>1538.3165332825195</v>
      </c>
      <c r="AA90">
        <f t="shared" si="16"/>
        <v>4.2602832539231539</v>
      </c>
    </row>
    <row r="91" spans="1:27">
      <c r="A91" s="31"/>
      <c r="B91" s="23">
        <v>40449</v>
      </c>
      <c r="C91" s="24">
        <v>91505</v>
      </c>
      <c r="D91" s="24">
        <v>87336.916666666701</v>
      </c>
      <c r="E91" s="24">
        <v>39</v>
      </c>
      <c r="F91" s="24">
        <v>102432</v>
      </c>
      <c r="G91" s="24">
        <v>3821.5833333333298</v>
      </c>
      <c r="H91" s="24">
        <v>4.0666666825612401</v>
      </c>
      <c r="I91" s="25">
        <v>58383614</v>
      </c>
      <c r="J91" s="25">
        <v>2438643.9166666698</v>
      </c>
      <c r="K91" s="25">
        <v>251.5458984375</v>
      </c>
      <c r="L91" s="25">
        <v>156.4765625</v>
      </c>
      <c r="M91" s="25"/>
      <c r="N91" s="26"/>
      <c r="O91" s="1"/>
      <c r="P91" s="1"/>
      <c r="Q91" s="31"/>
      <c r="R91" s="6">
        <f t="shared" si="11"/>
        <v>68.008739618597446</v>
      </c>
      <c r="S91">
        <f t="shared" si="17"/>
        <v>90629.312661498698</v>
      </c>
      <c r="T91">
        <f t="shared" si="18"/>
        <v>87187.530504379363</v>
      </c>
      <c r="U91">
        <f t="shared" si="19"/>
        <v>70</v>
      </c>
      <c r="V91">
        <f t="shared" si="20"/>
        <v>80</v>
      </c>
      <c r="W91">
        <f t="shared" si="12"/>
        <v>57015.248046875</v>
      </c>
      <c r="X91">
        <f t="shared" si="13"/>
        <v>61031.27135306556</v>
      </c>
      <c r="Y91">
        <f t="shared" si="14"/>
        <v>69750.024403503485</v>
      </c>
      <c r="Z91">
        <f t="shared" si="15"/>
        <v>1461.9294370993589</v>
      </c>
      <c r="AA91">
        <f t="shared" si="16"/>
        <v>4.176365590222753</v>
      </c>
    </row>
    <row r="92" spans="1:27">
      <c r="A92" s="31"/>
      <c r="B92" s="23">
        <v>40450</v>
      </c>
      <c r="C92" s="24">
        <v>91508</v>
      </c>
      <c r="D92" s="24">
        <v>87340.666666666701</v>
      </c>
      <c r="E92" s="24">
        <v>38</v>
      </c>
      <c r="F92" s="24">
        <v>94240</v>
      </c>
      <c r="G92" s="24">
        <v>3217.9166666666702</v>
      </c>
      <c r="H92" s="24">
        <v>3.4241666197776799</v>
      </c>
      <c r="I92" s="25">
        <v>54435769.666666701</v>
      </c>
      <c r="J92" s="25">
        <v>2232815.5</v>
      </c>
      <c r="K92" s="25"/>
      <c r="L92" s="25">
        <v>24.97265625</v>
      </c>
      <c r="M92" s="25"/>
      <c r="N92" s="26"/>
      <c r="O92" s="1"/>
      <c r="P92" s="1"/>
      <c r="Q92" s="31"/>
      <c r="R92" s="6">
        <f t="shared" si="11"/>
        <v>63.361567198734761</v>
      </c>
      <c r="S92">
        <f t="shared" si="17"/>
        <v>90629.312661498698</v>
      </c>
      <c r="T92">
        <f t="shared" si="18"/>
        <v>87187.530504379363</v>
      </c>
      <c r="U92">
        <f t="shared" si="19"/>
        <v>70</v>
      </c>
      <c r="V92">
        <f t="shared" si="20"/>
        <v>80</v>
      </c>
      <c r="W92">
        <f t="shared" si="12"/>
        <v>53159.931315104201</v>
      </c>
      <c r="X92">
        <f t="shared" si="13"/>
        <v>61031.27135306556</v>
      </c>
      <c r="Y92">
        <f t="shared" si="14"/>
        <v>69750.024403503485</v>
      </c>
      <c r="Z92">
        <f t="shared" si="15"/>
        <v>1398.9455609237948</v>
      </c>
      <c r="AA92">
        <f t="shared" si="16"/>
        <v>3.5165413588611596</v>
      </c>
    </row>
    <row r="93" spans="1:27">
      <c r="A93" s="31"/>
      <c r="B93" s="23">
        <v>40451</v>
      </c>
      <c r="C93" s="24">
        <v>91296.111111111095</v>
      </c>
      <c r="D93" s="24">
        <v>87144.777777777796</v>
      </c>
      <c r="E93" s="24">
        <v>38</v>
      </c>
      <c r="F93" s="24">
        <v>98336</v>
      </c>
      <c r="G93" s="24">
        <v>3100.6666666666702</v>
      </c>
      <c r="H93" s="24">
        <v>3.29777775870429</v>
      </c>
      <c r="I93" s="25">
        <v>45001854.666666701</v>
      </c>
      <c r="J93" s="25">
        <v>2112724.3333333302</v>
      </c>
      <c r="K93" s="25"/>
      <c r="L93" s="25">
        <v>24.4765625</v>
      </c>
      <c r="M93" s="25"/>
      <c r="N93" s="26"/>
      <c r="O93" s="1"/>
      <c r="P93" s="1"/>
      <c r="Q93" s="31"/>
      <c r="R93" s="6">
        <f t="shared" si="11"/>
        <v>52.797576892117924</v>
      </c>
      <c r="S93">
        <f t="shared" si="17"/>
        <v>90629.312661498698</v>
      </c>
      <c r="T93">
        <f t="shared" si="18"/>
        <v>87187.530504379363</v>
      </c>
      <c r="U93">
        <f t="shared" si="19"/>
        <v>70</v>
      </c>
      <c r="V93">
        <f t="shared" si="20"/>
        <v>80</v>
      </c>
      <c r="W93">
        <f t="shared" si="12"/>
        <v>43947.123697916701</v>
      </c>
      <c r="X93">
        <f t="shared" si="13"/>
        <v>61031.27135306556</v>
      </c>
      <c r="Y93">
        <f t="shared" si="14"/>
        <v>69750.024403503485</v>
      </c>
      <c r="Z93">
        <f t="shared" si="15"/>
        <v>1156.5032552083342</v>
      </c>
      <c r="AA93">
        <f t="shared" si="16"/>
        <v>3.3962746374739146</v>
      </c>
    </row>
    <row r="94" spans="1:27" ht="14.25" thickBot="1">
      <c r="A94" s="31"/>
      <c r="B94" s="27">
        <v>40452</v>
      </c>
      <c r="C94" s="28"/>
      <c r="D94" s="28"/>
      <c r="E94" s="28"/>
      <c r="F94" s="28"/>
      <c r="G94" s="28"/>
      <c r="H94" s="28"/>
      <c r="I94" s="29"/>
      <c r="J94" s="29"/>
      <c r="K94" s="29"/>
      <c r="L94" s="29"/>
      <c r="M94" s="29"/>
      <c r="N94" s="30"/>
      <c r="O94" s="1"/>
      <c r="P94" s="1"/>
      <c r="Q94" s="31"/>
      <c r="R94" s="6" t="e">
        <f t="shared" si="11"/>
        <v>#DIV/0!</v>
      </c>
      <c r="S94">
        <f t="shared" si="17"/>
        <v>90629.312661498698</v>
      </c>
      <c r="T94">
        <f t="shared" si="18"/>
        <v>87187.530504379363</v>
      </c>
      <c r="U94">
        <f t="shared" si="19"/>
        <v>70</v>
      </c>
      <c r="V94">
        <f t="shared" si="20"/>
        <v>80</v>
      </c>
      <c r="W94">
        <f t="shared" si="12"/>
        <v>0</v>
      </c>
      <c r="X94">
        <f t="shared" si="13"/>
        <v>61031.27135306556</v>
      </c>
      <c r="Y94">
        <f t="shared" si="14"/>
        <v>69750.024403503485</v>
      </c>
      <c r="Z94" t="e">
        <f t="shared" si="15"/>
        <v>#DIV/0!</v>
      </c>
      <c r="AA94" t="e">
        <f t="shared" si="16"/>
        <v>#DIV/0!</v>
      </c>
    </row>
    <row r="95" spans="1:27">
      <c r="A95" s="31"/>
      <c r="Q95" s="31"/>
      <c r="W95">
        <f t="shared" si="12"/>
        <v>0</v>
      </c>
    </row>
    <row r="96" spans="1:27">
      <c r="A96" s="31"/>
      <c r="Q96" s="31"/>
    </row>
    <row r="97" spans="1:21">
      <c r="A97" s="31"/>
      <c r="Q97" s="31"/>
    </row>
    <row r="98" spans="1:21">
      <c r="A98" s="31"/>
      <c r="Q98" s="31"/>
    </row>
    <row r="99" spans="1:21">
      <c r="A99" s="31"/>
      <c r="Q99" s="31"/>
    </row>
    <row r="100" spans="1:21" ht="14.25" thickBot="1">
      <c r="A100" s="31"/>
      <c r="Q100" s="31"/>
      <c r="R100">
        <f>COUNTA(B102:B136)</f>
        <v>4</v>
      </c>
    </row>
    <row r="101" spans="1:21">
      <c r="A101" s="34"/>
      <c r="B101" s="37" t="s">
        <v>30</v>
      </c>
      <c r="C101" s="38" t="s">
        <v>52</v>
      </c>
      <c r="D101" s="38" t="s">
        <v>53</v>
      </c>
      <c r="E101" s="38" t="s">
        <v>54</v>
      </c>
      <c r="F101" s="39" t="s">
        <v>55</v>
      </c>
      <c r="Q101" s="34"/>
      <c r="R101" s="3" t="str">
        <f>C101</f>
        <v>4 weeks ago</v>
      </c>
      <c r="S101" s="3" t="str">
        <f>D101</f>
        <v>3 weeks ago</v>
      </c>
      <c r="T101" s="3" t="str">
        <f>E101</f>
        <v>2 weeks ago</v>
      </c>
      <c r="U101" s="3" t="str">
        <f>F101</f>
        <v>last week</v>
      </c>
    </row>
    <row r="102" spans="1:21">
      <c r="A102" s="34"/>
      <c r="B102" s="40" t="s">
        <v>56</v>
      </c>
      <c r="C102" s="41"/>
      <c r="D102" s="42">
        <v>3.2025842633140198</v>
      </c>
      <c r="E102" s="42">
        <v>4.96158681087151</v>
      </c>
      <c r="F102" s="43">
        <v>5.5386086961497396</v>
      </c>
      <c r="Q102" s="34"/>
      <c r="R102" s="35">
        <f>C102/100</f>
        <v>0</v>
      </c>
      <c r="S102" s="35">
        <f>D102/100</f>
        <v>3.2025842633140199E-2</v>
      </c>
      <c r="T102" s="35">
        <f>E102/100</f>
        <v>4.96158681087151E-2</v>
      </c>
      <c r="U102" s="35">
        <f>F102/100</f>
        <v>5.5386086961497397E-2</v>
      </c>
    </row>
    <row r="103" spans="1:21">
      <c r="A103" s="34"/>
      <c r="B103" s="40" t="s">
        <v>57</v>
      </c>
      <c r="C103" s="41"/>
      <c r="D103" s="42">
        <v>2.2441242852453498</v>
      </c>
      <c r="E103" s="42">
        <v>2.5490606076789599</v>
      </c>
      <c r="F103" s="43">
        <v>2.7649130468783198</v>
      </c>
      <c r="Q103" s="34"/>
      <c r="R103" s="35">
        <f t="shared" ref="R103:R105" si="21">C103/100</f>
        <v>0</v>
      </c>
      <c r="S103" s="35">
        <f t="shared" ref="S103:U105" si="22">D103/100</f>
        <v>2.2441242852453497E-2</v>
      </c>
      <c r="T103" s="35">
        <f t="shared" si="22"/>
        <v>2.5490606076789598E-2</v>
      </c>
      <c r="U103" s="35">
        <f t="shared" si="22"/>
        <v>2.7649130468783197E-2</v>
      </c>
    </row>
    <row r="104" spans="1:21">
      <c r="A104" s="34"/>
      <c r="B104" s="40" t="s">
        <v>58</v>
      </c>
      <c r="C104" s="41">
        <v>7.0707942139801103</v>
      </c>
      <c r="D104" s="42">
        <v>7.4422174080558401</v>
      </c>
      <c r="E104" s="42">
        <v>8.2186363379160596</v>
      </c>
      <c r="F104" s="43">
        <v>8.3668260823125404</v>
      </c>
      <c r="Q104" s="34"/>
      <c r="R104" s="35">
        <f t="shared" si="21"/>
        <v>7.0707942139801097E-2</v>
      </c>
      <c r="S104" s="35">
        <f t="shared" si="22"/>
        <v>7.4422174080558401E-2</v>
      </c>
      <c r="T104" s="35">
        <f t="shared" si="22"/>
        <v>8.218636337916059E-2</v>
      </c>
      <c r="U104" s="35">
        <f t="shared" si="22"/>
        <v>8.3668260823125409E-2</v>
      </c>
    </row>
    <row r="105" spans="1:21">
      <c r="A105" s="34"/>
      <c r="B105" s="40" t="s">
        <v>59</v>
      </c>
      <c r="C105" s="41">
        <v>6.8524909587543403</v>
      </c>
      <c r="D105" s="42">
        <v>9.6322510933979206</v>
      </c>
      <c r="E105" s="42">
        <v>6.10449104823038</v>
      </c>
      <c r="F105" s="43">
        <v>4.2886521790338596</v>
      </c>
      <c r="Q105" s="34"/>
      <c r="R105" s="35">
        <f t="shared" si="21"/>
        <v>6.8524909587543398E-2</v>
      </c>
      <c r="S105" s="35">
        <f t="shared" si="22"/>
        <v>9.63225109339792E-2</v>
      </c>
      <c r="T105" s="35">
        <f t="shared" si="22"/>
        <v>6.1044910482303802E-2</v>
      </c>
      <c r="U105" s="35">
        <f t="shared" si="22"/>
        <v>4.2886521790338597E-2</v>
      </c>
    </row>
    <row r="106" spans="1:21">
      <c r="A106" s="34"/>
      <c r="B106" s="40"/>
      <c r="C106" s="42"/>
      <c r="D106" s="42"/>
      <c r="E106" s="42"/>
      <c r="F106" s="43"/>
      <c r="Q106" s="34"/>
      <c r="R106" s="35">
        <f t="shared" ref="R106:R144" si="23">C106/100</f>
        <v>0</v>
      </c>
      <c r="S106" s="35">
        <f t="shared" ref="S106:S144" si="24">D106/100</f>
        <v>0</v>
      </c>
      <c r="T106" s="35">
        <f t="shared" ref="T106:T144" si="25">E106/100</f>
        <v>0</v>
      </c>
      <c r="U106" s="35">
        <f t="shared" ref="U106:U144" si="26">F106/100</f>
        <v>0</v>
      </c>
    </row>
    <row r="107" spans="1:21">
      <c r="A107" s="34"/>
      <c r="B107" s="40"/>
      <c r="C107" s="42"/>
      <c r="D107" s="42"/>
      <c r="E107" s="42"/>
      <c r="F107" s="43"/>
      <c r="Q107" s="34"/>
      <c r="R107" s="35">
        <f t="shared" si="23"/>
        <v>0</v>
      </c>
      <c r="S107" s="35">
        <f t="shared" si="24"/>
        <v>0</v>
      </c>
      <c r="T107" s="35">
        <f t="shared" si="25"/>
        <v>0</v>
      </c>
      <c r="U107" s="35">
        <f t="shared" si="26"/>
        <v>0</v>
      </c>
    </row>
    <row r="108" spans="1:21">
      <c r="A108" s="34"/>
      <c r="B108" s="40"/>
      <c r="C108" s="42"/>
      <c r="D108" s="42"/>
      <c r="E108" s="42"/>
      <c r="F108" s="43"/>
      <c r="Q108" s="34"/>
      <c r="R108" s="35">
        <f t="shared" si="23"/>
        <v>0</v>
      </c>
      <c r="S108" s="35">
        <f t="shared" si="24"/>
        <v>0</v>
      </c>
      <c r="T108" s="35">
        <f t="shared" si="25"/>
        <v>0</v>
      </c>
      <c r="U108" s="35">
        <f t="shared" si="26"/>
        <v>0</v>
      </c>
    </row>
    <row r="109" spans="1:21">
      <c r="A109" s="34"/>
      <c r="B109" s="40"/>
      <c r="C109" s="42"/>
      <c r="D109" s="42"/>
      <c r="E109" s="42"/>
      <c r="F109" s="43"/>
      <c r="Q109" s="34"/>
      <c r="R109" s="35">
        <f t="shared" si="23"/>
        <v>0</v>
      </c>
      <c r="S109" s="35">
        <f t="shared" si="24"/>
        <v>0</v>
      </c>
      <c r="T109" s="35">
        <f t="shared" si="25"/>
        <v>0</v>
      </c>
      <c r="U109" s="35">
        <f t="shared" si="26"/>
        <v>0</v>
      </c>
    </row>
    <row r="110" spans="1:21">
      <c r="A110" s="34"/>
      <c r="B110" s="40"/>
      <c r="C110" s="42"/>
      <c r="D110" s="42"/>
      <c r="E110" s="42"/>
      <c r="F110" s="43"/>
      <c r="Q110" s="34"/>
      <c r="R110" s="35">
        <f t="shared" si="23"/>
        <v>0</v>
      </c>
      <c r="S110" s="35">
        <f t="shared" si="24"/>
        <v>0</v>
      </c>
      <c r="T110" s="35">
        <f t="shared" si="25"/>
        <v>0</v>
      </c>
      <c r="U110" s="35">
        <f t="shared" si="26"/>
        <v>0</v>
      </c>
    </row>
    <row r="111" spans="1:21">
      <c r="A111" s="34"/>
      <c r="B111" s="40"/>
      <c r="C111" s="42"/>
      <c r="D111" s="42"/>
      <c r="E111" s="42"/>
      <c r="F111" s="43"/>
      <c r="Q111" s="34"/>
      <c r="R111" s="35">
        <f t="shared" si="23"/>
        <v>0</v>
      </c>
      <c r="S111" s="35">
        <f t="shared" si="24"/>
        <v>0</v>
      </c>
      <c r="T111" s="35">
        <f t="shared" si="25"/>
        <v>0</v>
      </c>
      <c r="U111" s="35">
        <f t="shared" si="26"/>
        <v>0</v>
      </c>
    </row>
    <row r="112" spans="1:21">
      <c r="A112" s="34"/>
      <c r="B112" s="40"/>
      <c r="C112" s="42"/>
      <c r="D112" s="42"/>
      <c r="E112" s="42"/>
      <c r="F112" s="43"/>
      <c r="Q112" s="34"/>
      <c r="R112" s="35">
        <f t="shared" si="23"/>
        <v>0</v>
      </c>
      <c r="S112" s="35">
        <f t="shared" si="24"/>
        <v>0</v>
      </c>
      <c r="T112" s="35">
        <f t="shared" si="25"/>
        <v>0</v>
      </c>
      <c r="U112" s="35">
        <f t="shared" si="26"/>
        <v>0</v>
      </c>
    </row>
    <row r="113" spans="1:21">
      <c r="A113" s="34"/>
      <c r="B113" s="40"/>
      <c r="C113" s="42"/>
      <c r="D113" s="42"/>
      <c r="E113" s="42"/>
      <c r="F113" s="43"/>
      <c r="Q113" s="34"/>
      <c r="R113" s="35">
        <f t="shared" si="23"/>
        <v>0</v>
      </c>
      <c r="S113" s="35">
        <f t="shared" si="24"/>
        <v>0</v>
      </c>
      <c r="T113" s="35">
        <f t="shared" si="25"/>
        <v>0</v>
      </c>
      <c r="U113" s="35">
        <f t="shared" si="26"/>
        <v>0</v>
      </c>
    </row>
    <row r="114" spans="1:21">
      <c r="A114" s="34"/>
      <c r="B114" s="40"/>
      <c r="C114" s="42"/>
      <c r="D114" s="42"/>
      <c r="E114" s="42"/>
      <c r="F114" s="43"/>
      <c r="Q114" s="34"/>
      <c r="R114" s="35">
        <f t="shared" si="23"/>
        <v>0</v>
      </c>
      <c r="S114" s="35">
        <f t="shared" si="24"/>
        <v>0</v>
      </c>
      <c r="T114" s="35">
        <f t="shared" si="25"/>
        <v>0</v>
      </c>
      <c r="U114" s="35">
        <f t="shared" si="26"/>
        <v>0</v>
      </c>
    </row>
    <row r="115" spans="1:21">
      <c r="A115" s="34"/>
      <c r="B115" s="40"/>
      <c r="C115" s="42"/>
      <c r="D115" s="42"/>
      <c r="E115" s="42"/>
      <c r="F115" s="43"/>
      <c r="Q115" s="34"/>
      <c r="R115" s="35">
        <f t="shared" si="23"/>
        <v>0</v>
      </c>
      <c r="S115" s="35">
        <f t="shared" si="24"/>
        <v>0</v>
      </c>
      <c r="T115" s="35">
        <f t="shared" si="25"/>
        <v>0</v>
      </c>
      <c r="U115" s="35">
        <f t="shared" si="26"/>
        <v>0</v>
      </c>
    </row>
    <row r="116" spans="1:21">
      <c r="A116" s="34"/>
      <c r="B116" s="40"/>
      <c r="C116" s="42"/>
      <c r="D116" s="42"/>
      <c r="E116" s="42"/>
      <c r="F116" s="43"/>
      <c r="Q116" s="34"/>
      <c r="R116" s="35">
        <f t="shared" si="23"/>
        <v>0</v>
      </c>
      <c r="S116" s="35">
        <f t="shared" si="24"/>
        <v>0</v>
      </c>
      <c r="T116" s="35">
        <f t="shared" si="25"/>
        <v>0</v>
      </c>
      <c r="U116" s="35">
        <f t="shared" si="26"/>
        <v>0</v>
      </c>
    </row>
    <row r="117" spans="1:21">
      <c r="A117" s="34"/>
      <c r="B117" s="40"/>
      <c r="C117" s="42"/>
      <c r="D117" s="42"/>
      <c r="E117" s="42"/>
      <c r="F117" s="43"/>
      <c r="Q117" s="34"/>
      <c r="R117" s="35">
        <f t="shared" si="23"/>
        <v>0</v>
      </c>
      <c r="S117" s="35">
        <f t="shared" si="24"/>
        <v>0</v>
      </c>
      <c r="T117" s="35">
        <f t="shared" si="25"/>
        <v>0</v>
      </c>
      <c r="U117" s="35">
        <f t="shared" si="26"/>
        <v>0</v>
      </c>
    </row>
    <row r="118" spans="1:21">
      <c r="A118" s="34"/>
      <c r="B118" s="40"/>
      <c r="C118" s="42"/>
      <c r="D118" s="42"/>
      <c r="E118" s="42"/>
      <c r="F118" s="43"/>
      <c r="Q118" s="34"/>
      <c r="R118" s="35">
        <f t="shared" si="23"/>
        <v>0</v>
      </c>
      <c r="S118" s="35">
        <f t="shared" si="24"/>
        <v>0</v>
      </c>
      <c r="T118" s="35">
        <f t="shared" si="25"/>
        <v>0</v>
      </c>
      <c r="U118" s="35">
        <f t="shared" si="26"/>
        <v>0</v>
      </c>
    </row>
    <row r="119" spans="1:21">
      <c r="A119" s="34"/>
      <c r="B119" s="40"/>
      <c r="C119" s="42"/>
      <c r="D119" s="42"/>
      <c r="E119" s="42"/>
      <c r="F119" s="43"/>
      <c r="Q119" s="34"/>
      <c r="R119" s="35">
        <f t="shared" si="23"/>
        <v>0</v>
      </c>
      <c r="S119" s="35">
        <f t="shared" si="24"/>
        <v>0</v>
      </c>
      <c r="T119" s="35">
        <f t="shared" si="25"/>
        <v>0</v>
      </c>
      <c r="U119" s="35">
        <f t="shared" si="26"/>
        <v>0</v>
      </c>
    </row>
    <row r="120" spans="1:21">
      <c r="A120" s="34"/>
      <c r="B120" s="40"/>
      <c r="C120" s="42"/>
      <c r="D120" s="42"/>
      <c r="E120" s="42"/>
      <c r="F120" s="43"/>
      <c r="Q120" s="34"/>
      <c r="R120" s="35">
        <f t="shared" si="23"/>
        <v>0</v>
      </c>
      <c r="S120" s="35">
        <f t="shared" si="24"/>
        <v>0</v>
      </c>
      <c r="T120" s="35">
        <f t="shared" si="25"/>
        <v>0</v>
      </c>
      <c r="U120" s="35">
        <f t="shared" si="26"/>
        <v>0</v>
      </c>
    </row>
    <row r="121" spans="1:21">
      <c r="A121" s="34"/>
      <c r="B121" s="40"/>
      <c r="C121" s="42"/>
      <c r="D121" s="42"/>
      <c r="E121" s="42"/>
      <c r="F121" s="43"/>
      <c r="Q121" s="34"/>
      <c r="R121" s="35">
        <f t="shared" si="23"/>
        <v>0</v>
      </c>
      <c r="S121" s="35">
        <f t="shared" si="24"/>
        <v>0</v>
      </c>
      <c r="T121" s="35">
        <f t="shared" si="25"/>
        <v>0</v>
      </c>
      <c r="U121" s="35">
        <f t="shared" si="26"/>
        <v>0</v>
      </c>
    </row>
    <row r="122" spans="1:21">
      <c r="A122" s="34"/>
      <c r="B122" s="40"/>
      <c r="C122" s="42"/>
      <c r="D122" s="42"/>
      <c r="E122" s="42"/>
      <c r="F122" s="43"/>
      <c r="Q122" s="34"/>
      <c r="R122" s="35">
        <f t="shared" si="23"/>
        <v>0</v>
      </c>
      <c r="S122" s="35">
        <f t="shared" si="24"/>
        <v>0</v>
      </c>
      <c r="T122" s="35">
        <f t="shared" si="25"/>
        <v>0</v>
      </c>
      <c r="U122" s="35">
        <f t="shared" si="26"/>
        <v>0</v>
      </c>
    </row>
    <row r="123" spans="1:21">
      <c r="A123" s="34"/>
      <c r="B123" s="40"/>
      <c r="C123" s="42"/>
      <c r="D123" s="42"/>
      <c r="E123" s="42"/>
      <c r="F123" s="43"/>
      <c r="Q123" s="34"/>
      <c r="R123" s="35">
        <f t="shared" si="23"/>
        <v>0</v>
      </c>
      <c r="S123" s="35">
        <f t="shared" si="24"/>
        <v>0</v>
      </c>
      <c r="T123" s="35">
        <f t="shared" si="25"/>
        <v>0</v>
      </c>
      <c r="U123" s="35">
        <f t="shared" si="26"/>
        <v>0</v>
      </c>
    </row>
    <row r="124" spans="1:21">
      <c r="A124" s="34"/>
      <c r="B124" s="40"/>
      <c r="C124" s="42"/>
      <c r="D124" s="42"/>
      <c r="E124" s="42"/>
      <c r="F124" s="43"/>
      <c r="Q124" s="34"/>
      <c r="R124" s="35">
        <f t="shared" si="23"/>
        <v>0</v>
      </c>
      <c r="S124" s="35">
        <f t="shared" si="24"/>
        <v>0</v>
      </c>
      <c r="T124" s="35">
        <f t="shared" si="25"/>
        <v>0</v>
      </c>
      <c r="U124" s="35">
        <f t="shared" si="26"/>
        <v>0</v>
      </c>
    </row>
    <row r="125" spans="1:21">
      <c r="A125" s="34"/>
      <c r="B125" s="40"/>
      <c r="C125" s="42"/>
      <c r="D125" s="42"/>
      <c r="E125" s="42"/>
      <c r="F125" s="43"/>
      <c r="Q125" s="34"/>
      <c r="R125" s="35">
        <f t="shared" si="23"/>
        <v>0</v>
      </c>
      <c r="S125" s="35">
        <f t="shared" si="24"/>
        <v>0</v>
      </c>
      <c r="T125" s="35">
        <f t="shared" si="25"/>
        <v>0</v>
      </c>
      <c r="U125" s="35">
        <f t="shared" si="26"/>
        <v>0</v>
      </c>
    </row>
    <row r="126" spans="1:21">
      <c r="A126" s="34"/>
      <c r="B126" s="40"/>
      <c r="C126" s="42"/>
      <c r="D126" s="42"/>
      <c r="E126" s="42"/>
      <c r="F126" s="43"/>
      <c r="Q126" s="34"/>
      <c r="R126" s="35">
        <f t="shared" si="23"/>
        <v>0</v>
      </c>
      <c r="S126" s="35">
        <f t="shared" si="24"/>
        <v>0</v>
      </c>
      <c r="T126" s="35">
        <f t="shared" si="25"/>
        <v>0</v>
      </c>
      <c r="U126" s="35">
        <f t="shared" si="26"/>
        <v>0</v>
      </c>
    </row>
    <row r="127" spans="1:21">
      <c r="A127" s="34"/>
      <c r="B127" s="40"/>
      <c r="C127" s="42"/>
      <c r="D127" s="42"/>
      <c r="E127" s="42"/>
      <c r="F127" s="43"/>
      <c r="Q127" s="34"/>
      <c r="R127" s="35">
        <f t="shared" si="23"/>
        <v>0</v>
      </c>
      <c r="S127" s="35">
        <f t="shared" si="24"/>
        <v>0</v>
      </c>
      <c r="T127" s="35">
        <f t="shared" si="25"/>
        <v>0</v>
      </c>
      <c r="U127" s="35">
        <f t="shared" si="26"/>
        <v>0</v>
      </c>
    </row>
    <row r="128" spans="1:21">
      <c r="A128" s="34"/>
      <c r="B128" s="40"/>
      <c r="C128" s="42"/>
      <c r="D128" s="42"/>
      <c r="E128" s="42"/>
      <c r="F128" s="43"/>
      <c r="Q128" s="34"/>
      <c r="R128" s="35">
        <f t="shared" si="23"/>
        <v>0</v>
      </c>
      <c r="S128" s="35">
        <f t="shared" si="24"/>
        <v>0</v>
      </c>
      <c r="T128" s="35">
        <f t="shared" si="25"/>
        <v>0</v>
      </c>
      <c r="U128" s="35">
        <f t="shared" si="26"/>
        <v>0</v>
      </c>
    </row>
    <row r="129" spans="1:21">
      <c r="A129" s="34"/>
      <c r="B129" s="40"/>
      <c r="C129" s="42"/>
      <c r="D129" s="42"/>
      <c r="E129" s="42"/>
      <c r="F129" s="43"/>
      <c r="Q129" s="34"/>
      <c r="R129" s="35">
        <f t="shared" si="23"/>
        <v>0</v>
      </c>
      <c r="S129" s="35">
        <f t="shared" si="24"/>
        <v>0</v>
      </c>
      <c r="T129" s="35">
        <f t="shared" si="25"/>
        <v>0</v>
      </c>
      <c r="U129" s="35">
        <f t="shared" si="26"/>
        <v>0</v>
      </c>
    </row>
    <row r="130" spans="1:21">
      <c r="A130" s="34"/>
      <c r="B130" s="40"/>
      <c r="C130" s="42"/>
      <c r="D130" s="42"/>
      <c r="E130" s="42"/>
      <c r="F130" s="43"/>
      <c r="Q130" s="34"/>
      <c r="R130" s="35">
        <f t="shared" si="23"/>
        <v>0</v>
      </c>
      <c r="S130" s="35">
        <f t="shared" si="24"/>
        <v>0</v>
      </c>
      <c r="T130" s="35">
        <f t="shared" si="25"/>
        <v>0</v>
      </c>
      <c r="U130" s="35">
        <f t="shared" si="26"/>
        <v>0</v>
      </c>
    </row>
    <row r="131" spans="1:21">
      <c r="A131" s="34"/>
      <c r="B131" s="40"/>
      <c r="C131" s="42"/>
      <c r="D131" s="42"/>
      <c r="E131" s="42"/>
      <c r="F131" s="43"/>
      <c r="Q131" s="34"/>
      <c r="R131" s="35">
        <f t="shared" si="23"/>
        <v>0</v>
      </c>
      <c r="S131" s="35">
        <f t="shared" si="24"/>
        <v>0</v>
      </c>
      <c r="T131" s="35">
        <f t="shared" si="25"/>
        <v>0</v>
      </c>
      <c r="U131" s="35">
        <f t="shared" si="26"/>
        <v>0</v>
      </c>
    </row>
    <row r="132" spans="1:21">
      <c r="A132" s="34"/>
      <c r="B132" s="40"/>
      <c r="C132" s="42"/>
      <c r="D132" s="42"/>
      <c r="E132" s="42"/>
      <c r="F132" s="43"/>
      <c r="Q132" s="34"/>
      <c r="R132" s="35">
        <f t="shared" si="23"/>
        <v>0</v>
      </c>
      <c r="S132" s="35">
        <f t="shared" si="24"/>
        <v>0</v>
      </c>
      <c r="T132" s="35">
        <f t="shared" si="25"/>
        <v>0</v>
      </c>
      <c r="U132" s="35">
        <f t="shared" si="26"/>
        <v>0</v>
      </c>
    </row>
    <row r="133" spans="1:21">
      <c r="A133" s="34"/>
      <c r="B133" s="40"/>
      <c r="C133" s="42"/>
      <c r="D133" s="42"/>
      <c r="E133" s="42"/>
      <c r="F133" s="43"/>
      <c r="Q133" s="34"/>
      <c r="R133" s="35">
        <f t="shared" si="23"/>
        <v>0</v>
      </c>
      <c r="S133" s="35">
        <f t="shared" si="24"/>
        <v>0</v>
      </c>
      <c r="T133" s="35">
        <f t="shared" si="25"/>
        <v>0</v>
      </c>
      <c r="U133" s="35">
        <f t="shared" si="26"/>
        <v>0</v>
      </c>
    </row>
    <row r="134" spans="1:21">
      <c r="A134" s="34"/>
      <c r="B134" s="40"/>
      <c r="C134" s="42"/>
      <c r="D134" s="42"/>
      <c r="E134" s="42"/>
      <c r="F134" s="43"/>
      <c r="Q134" s="34"/>
      <c r="R134" s="35">
        <f t="shared" si="23"/>
        <v>0</v>
      </c>
      <c r="S134" s="35">
        <f t="shared" si="24"/>
        <v>0</v>
      </c>
      <c r="T134" s="35">
        <f t="shared" si="25"/>
        <v>0</v>
      </c>
      <c r="U134" s="35">
        <f t="shared" si="26"/>
        <v>0</v>
      </c>
    </row>
    <row r="135" spans="1:21">
      <c r="A135" s="34"/>
      <c r="B135" s="40"/>
      <c r="C135" s="42"/>
      <c r="D135" s="42"/>
      <c r="E135" s="42"/>
      <c r="F135" s="43"/>
      <c r="Q135" s="34"/>
      <c r="R135" s="35">
        <f t="shared" si="23"/>
        <v>0</v>
      </c>
      <c r="S135" s="35">
        <f t="shared" si="24"/>
        <v>0</v>
      </c>
      <c r="T135" s="35">
        <f t="shared" si="25"/>
        <v>0</v>
      </c>
      <c r="U135" s="35">
        <f t="shared" si="26"/>
        <v>0</v>
      </c>
    </row>
    <row r="136" spans="1:21">
      <c r="A136" s="34"/>
      <c r="B136" s="40"/>
      <c r="C136" s="42"/>
      <c r="D136" s="42"/>
      <c r="E136" s="42"/>
      <c r="F136" s="43"/>
      <c r="Q136" s="34"/>
      <c r="R136" s="35">
        <f t="shared" si="23"/>
        <v>0</v>
      </c>
      <c r="S136" s="35">
        <f t="shared" si="24"/>
        <v>0</v>
      </c>
      <c r="T136" s="35">
        <f t="shared" si="25"/>
        <v>0</v>
      </c>
      <c r="U136" s="35">
        <f t="shared" si="26"/>
        <v>0</v>
      </c>
    </row>
    <row r="137" spans="1:21">
      <c r="A137" s="34"/>
      <c r="B137" s="40"/>
      <c r="C137" s="42"/>
      <c r="D137" s="42"/>
      <c r="E137" s="42"/>
      <c r="F137" s="43"/>
      <c r="Q137" s="34"/>
      <c r="R137" s="35">
        <f t="shared" si="23"/>
        <v>0</v>
      </c>
      <c r="S137" s="35">
        <f t="shared" si="24"/>
        <v>0</v>
      </c>
      <c r="T137" s="35">
        <f t="shared" si="25"/>
        <v>0</v>
      </c>
      <c r="U137" s="35">
        <f t="shared" si="26"/>
        <v>0</v>
      </c>
    </row>
    <row r="138" spans="1:21">
      <c r="A138" s="34"/>
      <c r="B138" s="40"/>
      <c r="C138" s="42"/>
      <c r="D138" s="42"/>
      <c r="E138" s="42"/>
      <c r="F138" s="43"/>
      <c r="Q138" s="34"/>
      <c r="R138" s="35">
        <f t="shared" si="23"/>
        <v>0</v>
      </c>
      <c r="S138" s="35">
        <f t="shared" si="24"/>
        <v>0</v>
      </c>
      <c r="T138" s="35">
        <f t="shared" si="25"/>
        <v>0</v>
      </c>
      <c r="U138" s="35">
        <f t="shared" si="26"/>
        <v>0</v>
      </c>
    </row>
    <row r="139" spans="1:21">
      <c r="A139" s="34"/>
      <c r="B139" s="40"/>
      <c r="C139" s="42"/>
      <c r="D139" s="42"/>
      <c r="E139" s="42"/>
      <c r="F139" s="43"/>
      <c r="Q139" s="34"/>
      <c r="R139" s="35">
        <f t="shared" si="23"/>
        <v>0</v>
      </c>
      <c r="S139" s="35">
        <f t="shared" si="24"/>
        <v>0</v>
      </c>
      <c r="T139" s="35">
        <f t="shared" si="25"/>
        <v>0</v>
      </c>
      <c r="U139" s="35">
        <f t="shared" si="26"/>
        <v>0</v>
      </c>
    </row>
    <row r="140" spans="1:21">
      <c r="A140" s="34"/>
      <c r="B140" s="40"/>
      <c r="C140" s="42"/>
      <c r="D140" s="42"/>
      <c r="E140" s="42"/>
      <c r="F140" s="43"/>
      <c r="Q140" s="34"/>
      <c r="R140" s="35">
        <f t="shared" si="23"/>
        <v>0</v>
      </c>
      <c r="S140" s="35">
        <f t="shared" si="24"/>
        <v>0</v>
      </c>
      <c r="T140" s="35">
        <f t="shared" si="25"/>
        <v>0</v>
      </c>
      <c r="U140" s="35">
        <f t="shared" si="26"/>
        <v>0</v>
      </c>
    </row>
    <row r="141" spans="1:21">
      <c r="A141" s="34"/>
      <c r="B141" s="40"/>
      <c r="C141" s="42"/>
      <c r="D141" s="42"/>
      <c r="E141" s="42"/>
      <c r="F141" s="43"/>
      <c r="Q141" s="34"/>
      <c r="R141" s="35">
        <f t="shared" si="23"/>
        <v>0</v>
      </c>
      <c r="S141" s="35">
        <f t="shared" si="24"/>
        <v>0</v>
      </c>
      <c r="T141" s="35">
        <f t="shared" si="25"/>
        <v>0</v>
      </c>
      <c r="U141" s="35">
        <f t="shared" si="26"/>
        <v>0</v>
      </c>
    </row>
    <row r="142" spans="1:21">
      <c r="A142" s="34"/>
      <c r="B142" s="40"/>
      <c r="C142" s="42"/>
      <c r="D142" s="42"/>
      <c r="E142" s="42"/>
      <c r="F142" s="43"/>
      <c r="Q142" s="34"/>
      <c r="R142" s="35">
        <f t="shared" si="23"/>
        <v>0</v>
      </c>
      <c r="S142" s="35">
        <f t="shared" si="24"/>
        <v>0</v>
      </c>
      <c r="T142" s="35">
        <f t="shared" si="25"/>
        <v>0</v>
      </c>
      <c r="U142" s="35">
        <f t="shared" si="26"/>
        <v>0</v>
      </c>
    </row>
    <row r="143" spans="1:21">
      <c r="A143" s="34"/>
      <c r="B143" s="40"/>
      <c r="C143" s="42"/>
      <c r="D143" s="42"/>
      <c r="E143" s="42"/>
      <c r="F143" s="43"/>
      <c r="Q143" s="34"/>
      <c r="R143" s="35">
        <f t="shared" si="23"/>
        <v>0</v>
      </c>
      <c r="S143" s="35">
        <f t="shared" si="24"/>
        <v>0</v>
      </c>
      <c r="T143" s="35">
        <f t="shared" si="25"/>
        <v>0</v>
      </c>
      <c r="U143" s="35">
        <f t="shared" si="26"/>
        <v>0</v>
      </c>
    </row>
    <row r="144" spans="1:21">
      <c r="A144" s="34"/>
      <c r="B144" s="40"/>
      <c r="C144" s="42"/>
      <c r="D144" s="42"/>
      <c r="E144" s="42"/>
      <c r="F144" s="43"/>
      <c r="Q144" s="34"/>
      <c r="R144" s="35">
        <f t="shared" si="23"/>
        <v>0</v>
      </c>
      <c r="S144" s="35">
        <f t="shared" si="24"/>
        <v>0</v>
      </c>
      <c r="T144" s="35">
        <f t="shared" si="25"/>
        <v>0</v>
      </c>
      <c r="U144" s="35">
        <f t="shared" si="26"/>
        <v>0</v>
      </c>
    </row>
    <row r="145" spans="1:21">
      <c r="A145" s="34"/>
      <c r="B145" s="40"/>
      <c r="C145" s="42"/>
      <c r="D145" s="42"/>
      <c r="E145" s="42"/>
      <c r="F145" s="43"/>
      <c r="Q145" s="34"/>
    </row>
    <row r="146" spans="1:21">
      <c r="A146" s="34"/>
      <c r="B146" s="40"/>
      <c r="C146" s="42"/>
      <c r="D146" s="42"/>
      <c r="E146" s="42"/>
      <c r="F146" s="43"/>
      <c r="Q146" s="34"/>
    </row>
    <row r="147" spans="1:21">
      <c r="A147" s="34"/>
      <c r="B147" s="40"/>
      <c r="C147" s="42"/>
      <c r="D147" s="42"/>
      <c r="E147" s="42"/>
      <c r="F147" s="43"/>
      <c r="Q147" s="34"/>
    </row>
    <row r="148" spans="1:21">
      <c r="A148" s="34"/>
      <c r="B148" s="40"/>
      <c r="C148" s="42"/>
      <c r="D148" s="42"/>
      <c r="E148" s="42"/>
      <c r="F148" s="43"/>
      <c r="Q148" s="34"/>
    </row>
    <row r="149" spans="1:21" ht="14.25" thickBot="1">
      <c r="A149" s="34"/>
      <c r="B149" s="44"/>
      <c r="C149" s="45"/>
      <c r="D149" s="45"/>
      <c r="E149" s="45"/>
      <c r="F149" s="46"/>
      <c r="Q149" s="34"/>
    </row>
    <row r="150" spans="1:21" ht="14.25" thickBot="1">
      <c r="A150" s="34"/>
      <c r="Q150" s="34"/>
      <c r="R150">
        <f>COUNTA(B152:B186)</f>
        <v>4</v>
      </c>
    </row>
    <row r="151" spans="1:21">
      <c r="A151" s="33"/>
      <c r="B151" s="37" t="s">
        <v>30</v>
      </c>
      <c r="C151" s="38" t="s">
        <v>52</v>
      </c>
      <c r="D151" s="38" t="s">
        <v>53</v>
      </c>
      <c r="E151" s="38" t="s">
        <v>54</v>
      </c>
      <c r="F151" s="39" t="s">
        <v>55</v>
      </c>
      <c r="Q151" s="33"/>
      <c r="R151" s="3" t="str">
        <f>C151</f>
        <v>4 weeks ago</v>
      </c>
      <c r="S151" s="3" t="str">
        <f>D151</f>
        <v>3 weeks ago</v>
      </c>
      <c r="T151" s="3" t="str">
        <f t="shared" ref="T151" si="27">E151</f>
        <v>2 weeks ago</v>
      </c>
      <c r="U151" s="3" t="str">
        <f t="shared" ref="U151" si="28">F151</f>
        <v>last week</v>
      </c>
    </row>
    <row r="152" spans="1:21">
      <c r="A152" s="33"/>
      <c r="B152" s="40" t="s">
        <v>56</v>
      </c>
      <c r="C152" s="41"/>
      <c r="D152" s="42">
        <v>28.7710674050149</v>
      </c>
      <c r="E152" s="42">
        <v>58.7234732233836</v>
      </c>
      <c r="F152" s="43">
        <v>70.852684103565295</v>
      </c>
      <c r="Q152" s="33"/>
      <c r="R152" s="35">
        <f>C152/100</f>
        <v>0</v>
      </c>
      <c r="S152" s="35">
        <f>D152/100</f>
        <v>0.287710674050149</v>
      </c>
      <c r="T152" s="35">
        <f t="shared" ref="T152:T155" si="29">E152/100</f>
        <v>0.58723473223383604</v>
      </c>
      <c r="U152" s="35">
        <f t="shared" ref="U152:U155" si="30">F152/100</f>
        <v>0.708526841035653</v>
      </c>
    </row>
    <row r="153" spans="1:21">
      <c r="A153" s="33"/>
      <c r="B153" s="40" t="s">
        <v>57</v>
      </c>
      <c r="C153" s="41"/>
      <c r="D153" s="42">
        <v>42.496271160362802</v>
      </c>
      <c r="E153" s="42">
        <v>54.331939362034703</v>
      </c>
      <c r="F153" s="43">
        <v>55.385151702088201</v>
      </c>
      <c r="Q153" s="33"/>
      <c r="R153" s="35">
        <f t="shared" ref="R153:R155" si="31">C153/100</f>
        <v>0</v>
      </c>
      <c r="S153" s="35">
        <f>D153/100</f>
        <v>0.42496271160362803</v>
      </c>
      <c r="T153" s="35">
        <f t="shared" si="29"/>
        <v>0.54331939362034698</v>
      </c>
      <c r="U153" s="35">
        <f t="shared" si="30"/>
        <v>0.55385151702088198</v>
      </c>
    </row>
    <row r="154" spans="1:21">
      <c r="A154" s="33"/>
      <c r="B154" s="40" t="s">
        <v>58</v>
      </c>
      <c r="C154" s="41">
        <v>51.6890612578134</v>
      </c>
      <c r="D154" s="42">
        <v>65.245043497500205</v>
      </c>
      <c r="E154" s="42">
        <v>74.580363603071703</v>
      </c>
      <c r="F154" s="43">
        <v>60.568441696497302</v>
      </c>
      <c r="Q154" s="33"/>
      <c r="R154" s="35">
        <f t="shared" si="31"/>
        <v>0.51689061257813396</v>
      </c>
      <c r="S154" s="35">
        <f>D154/100</f>
        <v>0.6524504349750021</v>
      </c>
      <c r="T154" s="35">
        <f t="shared" si="29"/>
        <v>0.74580363603071698</v>
      </c>
      <c r="U154" s="35">
        <f t="shared" si="30"/>
        <v>0.60568441696497299</v>
      </c>
    </row>
    <row r="155" spans="1:21">
      <c r="A155" s="33"/>
      <c r="B155" s="40" t="s">
        <v>59</v>
      </c>
      <c r="C155" s="41">
        <v>57.868158911970099</v>
      </c>
      <c r="D155" s="42">
        <v>77.557446005024403</v>
      </c>
      <c r="E155" s="42">
        <v>83.414640769273205</v>
      </c>
      <c r="F155" s="43">
        <v>75.777229408165098</v>
      </c>
      <c r="Q155" s="33"/>
      <c r="R155" s="35">
        <f t="shared" si="31"/>
        <v>0.57868158911970102</v>
      </c>
      <c r="S155" s="35">
        <f>D155/100</f>
        <v>0.775574460050244</v>
      </c>
      <c r="T155" s="35">
        <f t="shared" si="29"/>
        <v>0.83414640769273207</v>
      </c>
      <c r="U155" s="35">
        <f t="shared" si="30"/>
        <v>0.75777229408165103</v>
      </c>
    </row>
    <row r="156" spans="1:21">
      <c r="A156" s="33"/>
      <c r="B156" s="40"/>
      <c r="C156" s="42"/>
      <c r="D156" s="42"/>
      <c r="E156" s="42"/>
      <c r="F156" s="43"/>
      <c r="Q156" s="33"/>
      <c r="R156" s="35">
        <f t="shared" ref="R156:R194" si="32">C156/100</f>
        <v>0</v>
      </c>
      <c r="S156" s="35">
        <f t="shared" ref="S156:S194" si="33">D156/100</f>
        <v>0</v>
      </c>
      <c r="T156" s="35">
        <f t="shared" ref="T156:T194" si="34">E156/100</f>
        <v>0</v>
      </c>
      <c r="U156" s="35">
        <f t="shared" ref="U156:U194" si="35">F156/100</f>
        <v>0</v>
      </c>
    </row>
    <row r="157" spans="1:21">
      <c r="A157" s="33"/>
      <c r="B157" s="40"/>
      <c r="C157" s="42"/>
      <c r="D157" s="42"/>
      <c r="E157" s="42"/>
      <c r="F157" s="43"/>
      <c r="Q157" s="33"/>
      <c r="R157" s="35">
        <f t="shared" si="32"/>
        <v>0</v>
      </c>
      <c r="S157" s="35">
        <f t="shared" si="33"/>
        <v>0</v>
      </c>
      <c r="T157" s="35">
        <f t="shared" si="34"/>
        <v>0</v>
      </c>
      <c r="U157" s="35">
        <f t="shared" si="35"/>
        <v>0</v>
      </c>
    </row>
    <row r="158" spans="1:21">
      <c r="A158" s="33"/>
      <c r="B158" s="40"/>
      <c r="C158" s="42"/>
      <c r="D158" s="42"/>
      <c r="E158" s="42"/>
      <c r="F158" s="43"/>
      <c r="Q158" s="33"/>
      <c r="R158" s="35">
        <f t="shared" si="32"/>
        <v>0</v>
      </c>
      <c r="S158" s="35">
        <f t="shared" si="33"/>
        <v>0</v>
      </c>
      <c r="T158" s="35">
        <f t="shared" si="34"/>
        <v>0</v>
      </c>
      <c r="U158" s="35">
        <f t="shared" si="35"/>
        <v>0</v>
      </c>
    </row>
    <row r="159" spans="1:21">
      <c r="A159" s="33"/>
      <c r="B159" s="40"/>
      <c r="C159" s="42"/>
      <c r="D159" s="42"/>
      <c r="E159" s="42"/>
      <c r="F159" s="43"/>
      <c r="Q159" s="33"/>
      <c r="R159" s="35">
        <f t="shared" si="32"/>
        <v>0</v>
      </c>
      <c r="S159" s="35">
        <f t="shared" si="33"/>
        <v>0</v>
      </c>
      <c r="T159" s="35">
        <f t="shared" si="34"/>
        <v>0</v>
      </c>
      <c r="U159" s="35">
        <f t="shared" si="35"/>
        <v>0</v>
      </c>
    </row>
    <row r="160" spans="1:21">
      <c r="A160" s="33"/>
      <c r="B160" s="40"/>
      <c r="C160" s="42"/>
      <c r="D160" s="42"/>
      <c r="E160" s="42"/>
      <c r="F160" s="43"/>
      <c r="Q160" s="33"/>
      <c r="R160" s="35">
        <f t="shared" si="32"/>
        <v>0</v>
      </c>
      <c r="S160" s="35">
        <f t="shared" si="33"/>
        <v>0</v>
      </c>
      <c r="T160" s="35">
        <f t="shared" si="34"/>
        <v>0</v>
      </c>
      <c r="U160" s="35">
        <f t="shared" si="35"/>
        <v>0</v>
      </c>
    </row>
    <row r="161" spans="1:21">
      <c r="A161" s="33"/>
      <c r="B161" s="40"/>
      <c r="C161" s="42"/>
      <c r="D161" s="42"/>
      <c r="E161" s="42"/>
      <c r="F161" s="43"/>
      <c r="Q161" s="33"/>
      <c r="R161" s="35">
        <f t="shared" si="32"/>
        <v>0</v>
      </c>
      <c r="S161" s="35">
        <f t="shared" si="33"/>
        <v>0</v>
      </c>
      <c r="T161" s="35">
        <f t="shared" si="34"/>
        <v>0</v>
      </c>
      <c r="U161" s="35">
        <f t="shared" si="35"/>
        <v>0</v>
      </c>
    </row>
    <row r="162" spans="1:21">
      <c r="A162" s="33"/>
      <c r="B162" s="40"/>
      <c r="C162" s="42"/>
      <c r="D162" s="42"/>
      <c r="E162" s="42"/>
      <c r="F162" s="43"/>
      <c r="Q162" s="33"/>
      <c r="R162" s="35">
        <f t="shared" si="32"/>
        <v>0</v>
      </c>
      <c r="S162" s="35">
        <f t="shared" si="33"/>
        <v>0</v>
      </c>
      <c r="T162" s="35">
        <f t="shared" si="34"/>
        <v>0</v>
      </c>
      <c r="U162" s="35">
        <f t="shared" si="35"/>
        <v>0</v>
      </c>
    </row>
    <row r="163" spans="1:21">
      <c r="A163" s="33"/>
      <c r="B163" s="40"/>
      <c r="C163" s="42"/>
      <c r="D163" s="42"/>
      <c r="E163" s="42"/>
      <c r="F163" s="43"/>
      <c r="Q163" s="33"/>
      <c r="R163" s="35">
        <f t="shared" si="32"/>
        <v>0</v>
      </c>
      <c r="S163" s="35">
        <f t="shared" si="33"/>
        <v>0</v>
      </c>
      <c r="T163" s="35">
        <f t="shared" si="34"/>
        <v>0</v>
      </c>
      <c r="U163" s="35">
        <f t="shared" si="35"/>
        <v>0</v>
      </c>
    </row>
    <row r="164" spans="1:21">
      <c r="A164" s="33"/>
      <c r="B164" s="40"/>
      <c r="C164" s="42"/>
      <c r="D164" s="42"/>
      <c r="E164" s="42"/>
      <c r="F164" s="43"/>
      <c r="Q164" s="33"/>
      <c r="R164" s="35">
        <f t="shared" si="32"/>
        <v>0</v>
      </c>
      <c r="S164" s="35">
        <f t="shared" si="33"/>
        <v>0</v>
      </c>
      <c r="T164" s="35">
        <f t="shared" si="34"/>
        <v>0</v>
      </c>
      <c r="U164" s="35">
        <f t="shared" si="35"/>
        <v>0</v>
      </c>
    </row>
    <row r="165" spans="1:21">
      <c r="A165" s="33"/>
      <c r="B165" s="40"/>
      <c r="C165" s="42"/>
      <c r="D165" s="42"/>
      <c r="E165" s="42"/>
      <c r="F165" s="43"/>
      <c r="Q165" s="33"/>
      <c r="R165" s="35">
        <f t="shared" si="32"/>
        <v>0</v>
      </c>
      <c r="S165" s="35">
        <f t="shared" si="33"/>
        <v>0</v>
      </c>
      <c r="T165" s="35">
        <f t="shared" si="34"/>
        <v>0</v>
      </c>
      <c r="U165" s="35">
        <f t="shared" si="35"/>
        <v>0</v>
      </c>
    </row>
    <row r="166" spans="1:21">
      <c r="A166" s="33"/>
      <c r="B166" s="40"/>
      <c r="C166" s="42"/>
      <c r="D166" s="42"/>
      <c r="E166" s="42"/>
      <c r="F166" s="43"/>
      <c r="Q166" s="33"/>
      <c r="R166" s="35">
        <f t="shared" si="32"/>
        <v>0</v>
      </c>
      <c r="S166" s="35">
        <f t="shared" si="33"/>
        <v>0</v>
      </c>
      <c r="T166" s="35">
        <f t="shared" si="34"/>
        <v>0</v>
      </c>
      <c r="U166" s="35">
        <f t="shared" si="35"/>
        <v>0</v>
      </c>
    </row>
    <row r="167" spans="1:21">
      <c r="A167" s="33"/>
      <c r="B167" s="40"/>
      <c r="C167" s="42"/>
      <c r="D167" s="42"/>
      <c r="E167" s="42"/>
      <c r="F167" s="43"/>
      <c r="Q167" s="33"/>
      <c r="R167" s="35">
        <f t="shared" si="32"/>
        <v>0</v>
      </c>
      <c r="S167" s="35">
        <f t="shared" si="33"/>
        <v>0</v>
      </c>
      <c r="T167" s="35">
        <f t="shared" si="34"/>
        <v>0</v>
      </c>
      <c r="U167" s="35">
        <f t="shared" si="35"/>
        <v>0</v>
      </c>
    </row>
    <row r="168" spans="1:21">
      <c r="A168" s="33"/>
      <c r="B168" s="40"/>
      <c r="C168" s="42"/>
      <c r="D168" s="42"/>
      <c r="E168" s="42"/>
      <c r="F168" s="43"/>
      <c r="Q168" s="33"/>
      <c r="R168" s="35">
        <f t="shared" si="32"/>
        <v>0</v>
      </c>
      <c r="S168" s="35">
        <f t="shared" si="33"/>
        <v>0</v>
      </c>
      <c r="T168" s="35">
        <f t="shared" si="34"/>
        <v>0</v>
      </c>
      <c r="U168" s="35">
        <f t="shared" si="35"/>
        <v>0</v>
      </c>
    </row>
    <row r="169" spans="1:21">
      <c r="A169" s="33"/>
      <c r="B169" s="40"/>
      <c r="C169" s="42"/>
      <c r="D169" s="42"/>
      <c r="E169" s="42"/>
      <c r="F169" s="43"/>
      <c r="Q169" s="33"/>
      <c r="R169" s="35">
        <f t="shared" si="32"/>
        <v>0</v>
      </c>
      <c r="S169" s="35">
        <f t="shared" si="33"/>
        <v>0</v>
      </c>
      <c r="T169" s="35">
        <f t="shared" si="34"/>
        <v>0</v>
      </c>
      <c r="U169" s="35">
        <f t="shared" si="35"/>
        <v>0</v>
      </c>
    </row>
    <row r="170" spans="1:21">
      <c r="A170" s="33"/>
      <c r="B170" s="40"/>
      <c r="C170" s="42"/>
      <c r="D170" s="42"/>
      <c r="E170" s="42"/>
      <c r="F170" s="43"/>
      <c r="Q170" s="33"/>
      <c r="R170" s="35">
        <f t="shared" si="32"/>
        <v>0</v>
      </c>
      <c r="S170" s="35">
        <f t="shared" si="33"/>
        <v>0</v>
      </c>
      <c r="T170" s="35">
        <f t="shared" si="34"/>
        <v>0</v>
      </c>
      <c r="U170" s="35">
        <f t="shared" si="35"/>
        <v>0</v>
      </c>
    </row>
    <row r="171" spans="1:21">
      <c r="A171" s="33"/>
      <c r="B171" s="40"/>
      <c r="C171" s="42"/>
      <c r="D171" s="42"/>
      <c r="E171" s="42"/>
      <c r="F171" s="43"/>
      <c r="Q171" s="33"/>
      <c r="R171" s="35">
        <f t="shared" si="32"/>
        <v>0</v>
      </c>
      <c r="S171" s="35">
        <f t="shared" si="33"/>
        <v>0</v>
      </c>
      <c r="T171" s="35">
        <f t="shared" si="34"/>
        <v>0</v>
      </c>
      <c r="U171" s="35">
        <f t="shared" si="35"/>
        <v>0</v>
      </c>
    </row>
    <row r="172" spans="1:21">
      <c r="A172" s="33"/>
      <c r="B172" s="40"/>
      <c r="C172" s="42"/>
      <c r="D172" s="42"/>
      <c r="E172" s="42"/>
      <c r="F172" s="43"/>
      <c r="Q172" s="33"/>
      <c r="R172" s="35">
        <f t="shared" si="32"/>
        <v>0</v>
      </c>
      <c r="S172" s="35">
        <f t="shared" si="33"/>
        <v>0</v>
      </c>
      <c r="T172" s="35">
        <f t="shared" si="34"/>
        <v>0</v>
      </c>
      <c r="U172" s="35">
        <f t="shared" si="35"/>
        <v>0</v>
      </c>
    </row>
    <row r="173" spans="1:21">
      <c r="A173" s="33"/>
      <c r="B173" s="40"/>
      <c r="C173" s="42"/>
      <c r="D173" s="42"/>
      <c r="E173" s="42"/>
      <c r="F173" s="43"/>
      <c r="Q173" s="33"/>
      <c r="R173" s="35">
        <f t="shared" si="32"/>
        <v>0</v>
      </c>
      <c r="S173" s="35">
        <f t="shared" si="33"/>
        <v>0</v>
      </c>
      <c r="T173" s="35">
        <f t="shared" si="34"/>
        <v>0</v>
      </c>
      <c r="U173" s="35">
        <f t="shared" si="35"/>
        <v>0</v>
      </c>
    </row>
    <row r="174" spans="1:21">
      <c r="A174" s="33"/>
      <c r="B174" s="40"/>
      <c r="C174" s="42"/>
      <c r="D174" s="42"/>
      <c r="E174" s="42"/>
      <c r="F174" s="43"/>
      <c r="Q174" s="33"/>
      <c r="R174" s="35">
        <f t="shared" si="32"/>
        <v>0</v>
      </c>
      <c r="S174" s="35">
        <f t="shared" si="33"/>
        <v>0</v>
      </c>
      <c r="T174" s="35">
        <f t="shared" si="34"/>
        <v>0</v>
      </c>
      <c r="U174" s="35">
        <f t="shared" si="35"/>
        <v>0</v>
      </c>
    </row>
    <row r="175" spans="1:21">
      <c r="A175" s="33"/>
      <c r="B175" s="40"/>
      <c r="C175" s="42"/>
      <c r="D175" s="42"/>
      <c r="E175" s="42"/>
      <c r="F175" s="43"/>
      <c r="Q175" s="33"/>
      <c r="R175" s="35">
        <f t="shared" si="32"/>
        <v>0</v>
      </c>
      <c r="S175" s="35">
        <f t="shared" si="33"/>
        <v>0</v>
      </c>
      <c r="T175" s="35">
        <f t="shared" si="34"/>
        <v>0</v>
      </c>
      <c r="U175" s="35">
        <f t="shared" si="35"/>
        <v>0</v>
      </c>
    </row>
    <row r="176" spans="1:21">
      <c r="A176" s="33"/>
      <c r="B176" s="40"/>
      <c r="C176" s="42"/>
      <c r="D176" s="42"/>
      <c r="E176" s="42"/>
      <c r="F176" s="43"/>
      <c r="Q176" s="33"/>
      <c r="R176" s="35">
        <f t="shared" si="32"/>
        <v>0</v>
      </c>
      <c r="S176" s="35">
        <f t="shared" si="33"/>
        <v>0</v>
      </c>
      <c r="T176" s="35">
        <f t="shared" si="34"/>
        <v>0</v>
      </c>
      <c r="U176" s="35">
        <f t="shared" si="35"/>
        <v>0</v>
      </c>
    </row>
    <row r="177" spans="1:21">
      <c r="A177" s="33"/>
      <c r="B177" s="40"/>
      <c r="C177" s="42"/>
      <c r="D177" s="42"/>
      <c r="E177" s="42"/>
      <c r="F177" s="43"/>
      <c r="Q177" s="33"/>
      <c r="R177" s="35">
        <f t="shared" si="32"/>
        <v>0</v>
      </c>
      <c r="S177" s="35">
        <f t="shared" si="33"/>
        <v>0</v>
      </c>
      <c r="T177" s="35">
        <f t="shared" si="34"/>
        <v>0</v>
      </c>
      <c r="U177" s="35">
        <f t="shared" si="35"/>
        <v>0</v>
      </c>
    </row>
    <row r="178" spans="1:21">
      <c r="A178" s="33"/>
      <c r="B178" s="40"/>
      <c r="C178" s="42"/>
      <c r="D178" s="42"/>
      <c r="E178" s="42"/>
      <c r="F178" s="43"/>
      <c r="Q178" s="33"/>
      <c r="R178" s="35">
        <f t="shared" si="32"/>
        <v>0</v>
      </c>
      <c r="S178" s="35">
        <f t="shared" si="33"/>
        <v>0</v>
      </c>
      <c r="T178" s="35">
        <f t="shared" si="34"/>
        <v>0</v>
      </c>
      <c r="U178" s="35">
        <f t="shared" si="35"/>
        <v>0</v>
      </c>
    </row>
    <row r="179" spans="1:21">
      <c r="A179" s="33"/>
      <c r="B179" s="40"/>
      <c r="C179" s="42"/>
      <c r="D179" s="42"/>
      <c r="E179" s="42"/>
      <c r="F179" s="43"/>
      <c r="Q179" s="33"/>
      <c r="R179" s="35">
        <f t="shared" si="32"/>
        <v>0</v>
      </c>
      <c r="S179" s="35">
        <f t="shared" si="33"/>
        <v>0</v>
      </c>
      <c r="T179" s="35">
        <f t="shared" si="34"/>
        <v>0</v>
      </c>
      <c r="U179" s="35">
        <f t="shared" si="35"/>
        <v>0</v>
      </c>
    </row>
    <row r="180" spans="1:21">
      <c r="A180" s="33"/>
      <c r="B180" s="40"/>
      <c r="C180" s="42"/>
      <c r="D180" s="42"/>
      <c r="E180" s="42"/>
      <c r="F180" s="43"/>
      <c r="Q180" s="33"/>
      <c r="R180" s="35">
        <f t="shared" si="32"/>
        <v>0</v>
      </c>
      <c r="S180" s="35">
        <f t="shared" si="33"/>
        <v>0</v>
      </c>
      <c r="T180" s="35">
        <f t="shared" si="34"/>
        <v>0</v>
      </c>
      <c r="U180" s="35">
        <f t="shared" si="35"/>
        <v>0</v>
      </c>
    </row>
    <row r="181" spans="1:21">
      <c r="A181" s="33"/>
      <c r="B181" s="40"/>
      <c r="C181" s="42"/>
      <c r="D181" s="42"/>
      <c r="E181" s="42"/>
      <c r="F181" s="43"/>
      <c r="Q181" s="33"/>
      <c r="R181" s="35">
        <f t="shared" si="32"/>
        <v>0</v>
      </c>
      <c r="S181" s="35">
        <f t="shared" si="33"/>
        <v>0</v>
      </c>
      <c r="T181" s="35">
        <f t="shared" si="34"/>
        <v>0</v>
      </c>
      <c r="U181" s="35">
        <f t="shared" si="35"/>
        <v>0</v>
      </c>
    </row>
    <row r="182" spans="1:21">
      <c r="A182" s="33"/>
      <c r="B182" s="40"/>
      <c r="C182" s="42"/>
      <c r="D182" s="42"/>
      <c r="E182" s="42"/>
      <c r="F182" s="43"/>
      <c r="Q182" s="33"/>
      <c r="R182" s="35">
        <f t="shared" si="32"/>
        <v>0</v>
      </c>
      <c r="S182" s="35">
        <f t="shared" si="33"/>
        <v>0</v>
      </c>
      <c r="T182" s="35">
        <f t="shared" si="34"/>
        <v>0</v>
      </c>
      <c r="U182" s="35">
        <f t="shared" si="35"/>
        <v>0</v>
      </c>
    </row>
    <row r="183" spans="1:21">
      <c r="A183" s="33"/>
      <c r="B183" s="40"/>
      <c r="C183" s="42"/>
      <c r="D183" s="42"/>
      <c r="E183" s="42"/>
      <c r="F183" s="43"/>
      <c r="Q183" s="33"/>
      <c r="R183" s="35">
        <f t="shared" si="32"/>
        <v>0</v>
      </c>
      <c r="S183" s="35">
        <f t="shared" si="33"/>
        <v>0</v>
      </c>
      <c r="T183" s="35">
        <f t="shared" si="34"/>
        <v>0</v>
      </c>
      <c r="U183" s="35">
        <f t="shared" si="35"/>
        <v>0</v>
      </c>
    </row>
    <row r="184" spans="1:21">
      <c r="A184" s="33"/>
      <c r="B184" s="40"/>
      <c r="C184" s="42"/>
      <c r="D184" s="42"/>
      <c r="E184" s="42"/>
      <c r="F184" s="43"/>
      <c r="Q184" s="33"/>
      <c r="R184" s="35">
        <f t="shared" si="32"/>
        <v>0</v>
      </c>
      <c r="S184" s="35">
        <f t="shared" si="33"/>
        <v>0</v>
      </c>
      <c r="T184" s="35">
        <f t="shared" si="34"/>
        <v>0</v>
      </c>
      <c r="U184" s="35">
        <f t="shared" si="35"/>
        <v>0</v>
      </c>
    </row>
    <row r="185" spans="1:21">
      <c r="A185" s="33"/>
      <c r="B185" s="40"/>
      <c r="C185" s="42"/>
      <c r="D185" s="42"/>
      <c r="E185" s="42"/>
      <c r="F185" s="43"/>
      <c r="Q185" s="33"/>
      <c r="R185" s="35">
        <f t="shared" si="32"/>
        <v>0</v>
      </c>
      <c r="S185" s="35">
        <f t="shared" si="33"/>
        <v>0</v>
      </c>
      <c r="T185" s="35">
        <f t="shared" si="34"/>
        <v>0</v>
      </c>
      <c r="U185" s="35">
        <f t="shared" si="35"/>
        <v>0</v>
      </c>
    </row>
    <row r="186" spans="1:21">
      <c r="A186" s="33"/>
      <c r="B186" s="40"/>
      <c r="C186" s="42"/>
      <c r="D186" s="42"/>
      <c r="E186" s="42"/>
      <c r="F186" s="43"/>
      <c r="Q186" s="33"/>
      <c r="R186" s="35">
        <f t="shared" si="32"/>
        <v>0</v>
      </c>
      <c r="S186" s="35">
        <f t="shared" si="33"/>
        <v>0</v>
      </c>
      <c r="T186" s="35">
        <f t="shared" si="34"/>
        <v>0</v>
      </c>
      <c r="U186" s="35">
        <f t="shared" si="35"/>
        <v>0</v>
      </c>
    </row>
    <row r="187" spans="1:21">
      <c r="A187" s="33"/>
      <c r="B187" s="40"/>
      <c r="C187" s="42"/>
      <c r="D187" s="42"/>
      <c r="E187" s="42"/>
      <c r="F187" s="43"/>
      <c r="Q187" s="33"/>
      <c r="R187" s="35">
        <f t="shared" si="32"/>
        <v>0</v>
      </c>
      <c r="S187" s="35">
        <f t="shared" si="33"/>
        <v>0</v>
      </c>
      <c r="T187" s="35">
        <f t="shared" si="34"/>
        <v>0</v>
      </c>
      <c r="U187" s="35">
        <f t="shared" si="35"/>
        <v>0</v>
      </c>
    </row>
    <row r="188" spans="1:21">
      <c r="A188" s="33"/>
      <c r="B188" s="40"/>
      <c r="C188" s="42"/>
      <c r="D188" s="42"/>
      <c r="E188" s="42"/>
      <c r="F188" s="43"/>
      <c r="Q188" s="33"/>
      <c r="R188" s="35">
        <f t="shared" si="32"/>
        <v>0</v>
      </c>
      <c r="S188" s="35">
        <f t="shared" si="33"/>
        <v>0</v>
      </c>
      <c r="T188" s="35">
        <f t="shared" si="34"/>
        <v>0</v>
      </c>
      <c r="U188" s="35">
        <f t="shared" si="35"/>
        <v>0</v>
      </c>
    </row>
    <row r="189" spans="1:21">
      <c r="A189" s="33"/>
      <c r="B189" s="40"/>
      <c r="C189" s="42"/>
      <c r="D189" s="42"/>
      <c r="E189" s="42"/>
      <c r="F189" s="43"/>
      <c r="Q189" s="33"/>
      <c r="R189" s="35">
        <f t="shared" si="32"/>
        <v>0</v>
      </c>
      <c r="S189" s="35">
        <f t="shared" si="33"/>
        <v>0</v>
      </c>
      <c r="T189" s="35">
        <f t="shared" si="34"/>
        <v>0</v>
      </c>
      <c r="U189" s="35">
        <f t="shared" si="35"/>
        <v>0</v>
      </c>
    </row>
    <row r="190" spans="1:21">
      <c r="A190" s="33"/>
      <c r="B190" s="40"/>
      <c r="C190" s="42"/>
      <c r="D190" s="42"/>
      <c r="E190" s="42"/>
      <c r="F190" s="43"/>
      <c r="Q190" s="33"/>
      <c r="R190" s="35">
        <f t="shared" si="32"/>
        <v>0</v>
      </c>
      <c r="S190" s="35">
        <f t="shared" si="33"/>
        <v>0</v>
      </c>
      <c r="T190" s="35">
        <f t="shared" si="34"/>
        <v>0</v>
      </c>
      <c r="U190" s="35">
        <f t="shared" si="35"/>
        <v>0</v>
      </c>
    </row>
    <row r="191" spans="1:21">
      <c r="A191" s="33"/>
      <c r="B191" s="40"/>
      <c r="C191" s="42"/>
      <c r="D191" s="42"/>
      <c r="E191" s="42"/>
      <c r="F191" s="43"/>
      <c r="Q191" s="33"/>
      <c r="R191" s="35">
        <f t="shared" si="32"/>
        <v>0</v>
      </c>
      <c r="S191" s="35">
        <f t="shared" si="33"/>
        <v>0</v>
      </c>
      <c r="T191" s="35">
        <f t="shared" si="34"/>
        <v>0</v>
      </c>
      <c r="U191" s="35">
        <f t="shared" si="35"/>
        <v>0</v>
      </c>
    </row>
    <row r="192" spans="1:21">
      <c r="A192" s="33"/>
      <c r="B192" s="40"/>
      <c r="C192" s="42"/>
      <c r="D192" s="42"/>
      <c r="E192" s="42"/>
      <c r="F192" s="43"/>
      <c r="Q192" s="33"/>
      <c r="R192" s="35">
        <f t="shared" si="32"/>
        <v>0</v>
      </c>
      <c r="S192" s="35">
        <f t="shared" si="33"/>
        <v>0</v>
      </c>
      <c r="T192" s="35">
        <f t="shared" si="34"/>
        <v>0</v>
      </c>
      <c r="U192" s="35">
        <f t="shared" si="35"/>
        <v>0</v>
      </c>
    </row>
    <row r="193" spans="1:21">
      <c r="A193" s="33"/>
      <c r="B193" s="40"/>
      <c r="C193" s="42"/>
      <c r="D193" s="42"/>
      <c r="E193" s="42"/>
      <c r="F193" s="43"/>
      <c r="Q193" s="33"/>
      <c r="R193" s="35">
        <f t="shared" si="32"/>
        <v>0</v>
      </c>
      <c r="S193" s="35">
        <f t="shared" si="33"/>
        <v>0</v>
      </c>
      <c r="T193" s="35">
        <f t="shared" si="34"/>
        <v>0</v>
      </c>
      <c r="U193" s="35">
        <f t="shared" si="35"/>
        <v>0</v>
      </c>
    </row>
    <row r="194" spans="1:21">
      <c r="A194" s="33"/>
      <c r="B194" s="40"/>
      <c r="C194" s="42"/>
      <c r="D194" s="42"/>
      <c r="E194" s="42"/>
      <c r="F194" s="43"/>
      <c r="Q194" s="33"/>
      <c r="R194" s="35">
        <f t="shared" si="32"/>
        <v>0</v>
      </c>
      <c r="S194" s="35">
        <f t="shared" si="33"/>
        <v>0</v>
      </c>
      <c r="T194" s="35">
        <f t="shared" si="34"/>
        <v>0</v>
      </c>
      <c r="U194" s="35">
        <f t="shared" si="35"/>
        <v>0</v>
      </c>
    </row>
    <row r="195" spans="1:21">
      <c r="A195" s="33"/>
      <c r="B195" s="40"/>
      <c r="C195" s="42"/>
      <c r="D195" s="42"/>
      <c r="E195" s="42"/>
      <c r="F195" s="43"/>
      <c r="Q195" s="33"/>
    </row>
    <row r="196" spans="1:21">
      <c r="A196" s="33"/>
      <c r="B196" s="40"/>
      <c r="C196" s="42"/>
      <c r="D196" s="42"/>
      <c r="E196" s="42"/>
      <c r="F196" s="43"/>
      <c r="Q196" s="33"/>
    </row>
    <row r="197" spans="1:21">
      <c r="A197" s="33"/>
      <c r="B197" s="40"/>
      <c r="C197" s="42"/>
      <c r="D197" s="42"/>
      <c r="E197" s="42"/>
      <c r="F197" s="43"/>
      <c r="Q197" s="33"/>
    </row>
    <row r="198" spans="1:21">
      <c r="A198" s="33"/>
      <c r="B198" s="40"/>
      <c r="C198" s="42"/>
      <c r="D198" s="42"/>
      <c r="E198" s="42"/>
      <c r="F198" s="43"/>
      <c r="Q198" s="33"/>
    </row>
    <row r="199" spans="1:21" ht="14.25" thickBot="1">
      <c r="A199" s="33"/>
      <c r="B199" s="44"/>
      <c r="C199" s="45"/>
      <c r="D199" s="45"/>
      <c r="E199" s="45"/>
      <c r="F199" s="46"/>
      <c r="Q199" s="33"/>
    </row>
    <row r="200" spans="1:21" ht="14.25" thickBot="1">
      <c r="A200" s="33"/>
      <c r="Q200" s="33"/>
      <c r="R200">
        <f>COUNTA(B202:B236)</f>
        <v>4</v>
      </c>
    </row>
    <row r="201" spans="1:21">
      <c r="A201" s="34"/>
      <c r="B201" s="37" t="s">
        <v>30</v>
      </c>
      <c r="C201" s="38" t="s">
        <v>52</v>
      </c>
      <c r="D201" s="38" t="s">
        <v>53</v>
      </c>
      <c r="E201" s="38" t="s">
        <v>54</v>
      </c>
      <c r="F201" s="39" t="s">
        <v>55</v>
      </c>
      <c r="Q201" s="33"/>
      <c r="R201" s="3" t="str">
        <f>C201</f>
        <v>4 weeks ago</v>
      </c>
      <c r="S201" s="3" t="str">
        <f>D201</f>
        <v>3 weeks ago</v>
      </c>
      <c r="T201" s="3" t="str">
        <f t="shared" ref="T201" si="36">E201</f>
        <v>2 weeks ago</v>
      </c>
      <c r="U201" s="3" t="str">
        <f t="shared" ref="U201" si="37">F201</f>
        <v>last week</v>
      </c>
    </row>
    <row r="202" spans="1:21">
      <c r="A202" s="34"/>
      <c r="B202" s="40" t="s">
        <v>56</v>
      </c>
      <c r="C202" s="41"/>
      <c r="D202" s="42">
        <v>28.7710674050149</v>
      </c>
      <c r="E202" s="42">
        <v>58.7234732233836</v>
      </c>
      <c r="F202" s="43">
        <v>70.852684103565295</v>
      </c>
      <c r="Q202" s="33"/>
      <c r="R202" s="35">
        <f>C202/100</f>
        <v>0</v>
      </c>
      <c r="S202" s="35">
        <f>D202/100</f>
        <v>0.287710674050149</v>
      </c>
      <c r="T202" s="35">
        <f t="shared" ref="T202:T244" si="38">E202/100</f>
        <v>0.58723473223383604</v>
      </c>
      <c r="U202" s="35">
        <f t="shared" ref="U202:U244" si="39">F202/100</f>
        <v>0.708526841035653</v>
      </c>
    </row>
    <row r="203" spans="1:21">
      <c r="A203" s="34"/>
      <c r="B203" s="40" t="s">
        <v>57</v>
      </c>
      <c r="C203" s="41"/>
      <c r="D203" s="42">
        <v>42.496271160362802</v>
      </c>
      <c r="E203" s="42">
        <v>54.331939362034703</v>
      </c>
      <c r="F203" s="43">
        <v>55.385151702088201</v>
      </c>
      <c r="Q203" s="33"/>
      <c r="R203" s="35">
        <f t="shared" ref="R203:R244" si="40">C203/100</f>
        <v>0</v>
      </c>
      <c r="S203" s="35">
        <f>D203/100</f>
        <v>0.42496271160362803</v>
      </c>
      <c r="T203" s="35">
        <f t="shared" si="38"/>
        <v>0.54331939362034698</v>
      </c>
      <c r="U203" s="35">
        <f t="shared" si="39"/>
        <v>0.55385151702088198</v>
      </c>
    </row>
    <row r="204" spans="1:21">
      <c r="A204" s="34"/>
      <c r="B204" s="40" t="s">
        <v>58</v>
      </c>
      <c r="C204" s="41">
        <v>51.6890612578134</v>
      </c>
      <c r="D204" s="42">
        <v>65.245043497500205</v>
      </c>
      <c r="E204" s="42">
        <v>74.580363603071703</v>
      </c>
      <c r="F204" s="43">
        <v>60.568441696497302</v>
      </c>
      <c r="Q204" s="33"/>
      <c r="R204" s="35">
        <f t="shared" si="40"/>
        <v>0.51689061257813396</v>
      </c>
      <c r="S204" s="35">
        <f>D204/100</f>
        <v>0.6524504349750021</v>
      </c>
      <c r="T204" s="35">
        <f t="shared" si="38"/>
        <v>0.74580363603071698</v>
      </c>
      <c r="U204" s="35">
        <f t="shared" si="39"/>
        <v>0.60568441696497299</v>
      </c>
    </row>
    <row r="205" spans="1:21">
      <c r="A205" s="34"/>
      <c r="B205" s="40" t="s">
        <v>59</v>
      </c>
      <c r="C205" s="41">
        <v>57.868158911970099</v>
      </c>
      <c r="D205" s="42">
        <v>77.557446005024403</v>
      </c>
      <c r="E205" s="42">
        <v>83.414640769273205</v>
      </c>
      <c r="F205" s="43">
        <v>75.777229408165098</v>
      </c>
      <c r="Q205" s="33"/>
      <c r="R205" s="35">
        <f t="shared" si="40"/>
        <v>0.57868158911970102</v>
      </c>
      <c r="S205" s="35">
        <f>D205/100</f>
        <v>0.775574460050244</v>
      </c>
      <c r="T205" s="35">
        <f t="shared" si="38"/>
        <v>0.83414640769273207</v>
      </c>
      <c r="U205" s="35">
        <f t="shared" si="39"/>
        <v>0.75777229408165103</v>
      </c>
    </row>
    <row r="206" spans="1:21">
      <c r="A206" s="34"/>
      <c r="B206" s="40"/>
      <c r="C206" s="42"/>
      <c r="D206" s="42"/>
      <c r="E206" s="42"/>
      <c r="F206" s="43"/>
      <c r="Q206" s="33"/>
      <c r="R206" s="35">
        <f t="shared" si="40"/>
        <v>0</v>
      </c>
      <c r="S206" s="35">
        <f t="shared" ref="S206:S244" si="41">D206/100</f>
        <v>0</v>
      </c>
      <c r="T206" s="35">
        <f t="shared" si="38"/>
        <v>0</v>
      </c>
      <c r="U206" s="35">
        <f t="shared" si="39"/>
        <v>0</v>
      </c>
    </row>
    <row r="207" spans="1:21">
      <c r="A207" s="34"/>
      <c r="B207" s="40"/>
      <c r="C207" s="42"/>
      <c r="D207" s="42"/>
      <c r="E207" s="42"/>
      <c r="F207" s="43"/>
      <c r="Q207" s="33"/>
      <c r="R207" s="35">
        <f t="shared" si="40"/>
        <v>0</v>
      </c>
      <c r="S207" s="35">
        <f t="shared" si="41"/>
        <v>0</v>
      </c>
      <c r="T207" s="35">
        <f t="shared" si="38"/>
        <v>0</v>
      </c>
      <c r="U207" s="35">
        <f t="shared" si="39"/>
        <v>0</v>
      </c>
    </row>
    <row r="208" spans="1:21">
      <c r="A208" s="34"/>
      <c r="B208" s="40"/>
      <c r="C208" s="42"/>
      <c r="D208" s="42"/>
      <c r="E208" s="42"/>
      <c r="F208" s="43"/>
      <c r="Q208" s="33"/>
      <c r="R208" s="35">
        <f t="shared" si="40"/>
        <v>0</v>
      </c>
      <c r="S208" s="35">
        <f t="shared" si="41"/>
        <v>0</v>
      </c>
      <c r="T208" s="35">
        <f t="shared" si="38"/>
        <v>0</v>
      </c>
      <c r="U208" s="35">
        <f t="shared" si="39"/>
        <v>0</v>
      </c>
    </row>
    <row r="209" spans="1:21">
      <c r="A209" s="34"/>
      <c r="B209" s="40"/>
      <c r="C209" s="42"/>
      <c r="D209" s="42"/>
      <c r="E209" s="42"/>
      <c r="F209" s="43"/>
      <c r="Q209" s="33"/>
      <c r="R209" s="35">
        <f t="shared" si="40"/>
        <v>0</v>
      </c>
      <c r="S209" s="35">
        <f t="shared" si="41"/>
        <v>0</v>
      </c>
      <c r="T209" s="35">
        <f t="shared" si="38"/>
        <v>0</v>
      </c>
      <c r="U209" s="35">
        <f t="shared" si="39"/>
        <v>0</v>
      </c>
    </row>
    <row r="210" spans="1:21">
      <c r="A210" s="34"/>
      <c r="B210" s="40"/>
      <c r="C210" s="42"/>
      <c r="D210" s="42"/>
      <c r="E210" s="42"/>
      <c r="F210" s="43"/>
      <c r="Q210" s="33"/>
      <c r="R210" s="35">
        <f t="shared" si="40"/>
        <v>0</v>
      </c>
      <c r="S210" s="35">
        <f t="shared" si="41"/>
        <v>0</v>
      </c>
      <c r="T210" s="35">
        <f t="shared" si="38"/>
        <v>0</v>
      </c>
      <c r="U210" s="35">
        <f t="shared" si="39"/>
        <v>0</v>
      </c>
    </row>
    <row r="211" spans="1:21">
      <c r="A211" s="34"/>
      <c r="B211" s="40"/>
      <c r="C211" s="42"/>
      <c r="D211" s="42"/>
      <c r="E211" s="42"/>
      <c r="F211" s="43"/>
      <c r="Q211" s="33"/>
      <c r="R211" s="35">
        <f t="shared" si="40"/>
        <v>0</v>
      </c>
      <c r="S211" s="35">
        <f t="shared" si="41"/>
        <v>0</v>
      </c>
      <c r="T211" s="35">
        <f t="shared" si="38"/>
        <v>0</v>
      </c>
      <c r="U211" s="35">
        <f t="shared" si="39"/>
        <v>0</v>
      </c>
    </row>
    <row r="212" spans="1:21">
      <c r="A212" s="34"/>
      <c r="B212" s="40"/>
      <c r="C212" s="42"/>
      <c r="D212" s="42"/>
      <c r="E212" s="42"/>
      <c r="F212" s="43"/>
      <c r="Q212" s="33"/>
      <c r="R212" s="35">
        <f t="shared" si="40"/>
        <v>0</v>
      </c>
      <c r="S212" s="35">
        <f t="shared" si="41"/>
        <v>0</v>
      </c>
      <c r="T212" s="35">
        <f t="shared" si="38"/>
        <v>0</v>
      </c>
      <c r="U212" s="35">
        <f t="shared" si="39"/>
        <v>0</v>
      </c>
    </row>
    <row r="213" spans="1:21">
      <c r="A213" s="34"/>
      <c r="B213" s="40"/>
      <c r="C213" s="42"/>
      <c r="D213" s="42"/>
      <c r="E213" s="42"/>
      <c r="F213" s="43"/>
      <c r="Q213" s="33"/>
      <c r="R213" s="35">
        <f t="shared" si="40"/>
        <v>0</v>
      </c>
      <c r="S213" s="35">
        <f t="shared" si="41"/>
        <v>0</v>
      </c>
      <c r="T213" s="35">
        <f t="shared" si="38"/>
        <v>0</v>
      </c>
      <c r="U213" s="35">
        <f t="shared" si="39"/>
        <v>0</v>
      </c>
    </row>
    <row r="214" spans="1:21">
      <c r="A214" s="34"/>
      <c r="B214" s="40"/>
      <c r="C214" s="42"/>
      <c r="D214" s="42"/>
      <c r="E214" s="42"/>
      <c r="F214" s="43"/>
      <c r="Q214" s="33"/>
      <c r="R214" s="35">
        <f t="shared" si="40"/>
        <v>0</v>
      </c>
      <c r="S214" s="35">
        <f t="shared" si="41"/>
        <v>0</v>
      </c>
      <c r="T214" s="35">
        <f t="shared" si="38"/>
        <v>0</v>
      </c>
      <c r="U214" s="35">
        <f t="shared" si="39"/>
        <v>0</v>
      </c>
    </row>
    <row r="215" spans="1:21">
      <c r="A215" s="34"/>
      <c r="B215" s="40"/>
      <c r="C215" s="42"/>
      <c r="D215" s="42"/>
      <c r="E215" s="42"/>
      <c r="F215" s="43"/>
      <c r="Q215" s="33"/>
      <c r="R215" s="35">
        <f t="shared" si="40"/>
        <v>0</v>
      </c>
      <c r="S215" s="35">
        <f t="shared" si="41"/>
        <v>0</v>
      </c>
      <c r="T215" s="35">
        <f t="shared" si="38"/>
        <v>0</v>
      </c>
      <c r="U215" s="35">
        <f t="shared" si="39"/>
        <v>0</v>
      </c>
    </row>
    <row r="216" spans="1:21">
      <c r="A216" s="34"/>
      <c r="B216" s="40"/>
      <c r="C216" s="42"/>
      <c r="D216" s="42"/>
      <c r="E216" s="42"/>
      <c r="F216" s="43"/>
      <c r="Q216" s="33"/>
      <c r="R216" s="35">
        <f t="shared" si="40"/>
        <v>0</v>
      </c>
      <c r="S216" s="35">
        <f t="shared" si="41"/>
        <v>0</v>
      </c>
      <c r="T216" s="35">
        <f t="shared" si="38"/>
        <v>0</v>
      </c>
      <c r="U216" s="35">
        <f t="shared" si="39"/>
        <v>0</v>
      </c>
    </row>
    <row r="217" spans="1:21">
      <c r="A217" s="34"/>
      <c r="B217" s="40"/>
      <c r="C217" s="42"/>
      <c r="D217" s="42"/>
      <c r="E217" s="42"/>
      <c r="F217" s="43"/>
      <c r="Q217" s="33"/>
      <c r="R217" s="35">
        <f t="shared" si="40"/>
        <v>0</v>
      </c>
      <c r="S217" s="35">
        <f t="shared" si="41"/>
        <v>0</v>
      </c>
      <c r="T217" s="35">
        <f t="shared" si="38"/>
        <v>0</v>
      </c>
      <c r="U217" s="35">
        <f t="shared" si="39"/>
        <v>0</v>
      </c>
    </row>
    <row r="218" spans="1:21">
      <c r="A218" s="34"/>
      <c r="B218" s="40"/>
      <c r="C218" s="42"/>
      <c r="D218" s="42"/>
      <c r="E218" s="42"/>
      <c r="F218" s="43"/>
      <c r="Q218" s="33"/>
      <c r="R218" s="35">
        <f t="shared" si="40"/>
        <v>0</v>
      </c>
      <c r="S218" s="35">
        <f t="shared" si="41"/>
        <v>0</v>
      </c>
      <c r="T218" s="35">
        <f t="shared" si="38"/>
        <v>0</v>
      </c>
      <c r="U218" s="35">
        <f t="shared" si="39"/>
        <v>0</v>
      </c>
    </row>
    <row r="219" spans="1:21">
      <c r="A219" s="34"/>
      <c r="B219" s="40"/>
      <c r="C219" s="42"/>
      <c r="D219" s="42"/>
      <c r="E219" s="42"/>
      <c r="F219" s="43"/>
      <c r="Q219" s="33"/>
      <c r="R219" s="35">
        <f t="shared" si="40"/>
        <v>0</v>
      </c>
      <c r="S219" s="35">
        <f t="shared" si="41"/>
        <v>0</v>
      </c>
      <c r="T219" s="35">
        <f t="shared" si="38"/>
        <v>0</v>
      </c>
      <c r="U219" s="35">
        <f t="shared" si="39"/>
        <v>0</v>
      </c>
    </row>
    <row r="220" spans="1:21">
      <c r="A220" s="34"/>
      <c r="B220" s="40"/>
      <c r="C220" s="42"/>
      <c r="D220" s="42"/>
      <c r="E220" s="42"/>
      <c r="F220" s="43"/>
      <c r="Q220" s="33"/>
      <c r="R220" s="35">
        <f t="shared" si="40"/>
        <v>0</v>
      </c>
      <c r="S220" s="35">
        <f t="shared" si="41"/>
        <v>0</v>
      </c>
      <c r="T220" s="35">
        <f t="shared" si="38"/>
        <v>0</v>
      </c>
      <c r="U220" s="35">
        <f t="shared" si="39"/>
        <v>0</v>
      </c>
    </row>
    <row r="221" spans="1:21">
      <c r="A221" s="34"/>
      <c r="B221" s="40"/>
      <c r="C221" s="42"/>
      <c r="D221" s="42"/>
      <c r="E221" s="42"/>
      <c r="F221" s="43"/>
      <c r="Q221" s="33"/>
      <c r="R221" s="35">
        <f t="shared" si="40"/>
        <v>0</v>
      </c>
      <c r="S221" s="35">
        <f t="shared" si="41"/>
        <v>0</v>
      </c>
      <c r="T221" s="35">
        <f t="shared" si="38"/>
        <v>0</v>
      </c>
      <c r="U221" s="35">
        <f t="shared" si="39"/>
        <v>0</v>
      </c>
    </row>
    <row r="222" spans="1:21">
      <c r="A222" s="34"/>
      <c r="B222" s="40"/>
      <c r="C222" s="42"/>
      <c r="D222" s="42"/>
      <c r="E222" s="42"/>
      <c r="F222" s="43"/>
      <c r="Q222" s="33"/>
      <c r="R222" s="35">
        <f t="shared" si="40"/>
        <v>0</v>
      </c>
      <c r="S222" s="35">
        <f t="shared" si="41"/>
        <v>0</v>
      </c>
      <c r="T222" s="35">
        <f t="shared" si="38"/>
        <v>0</v>
      </c>
      <c r="U222" s="35">
        <f t="shared" si="39"/>
        <v>0</v>
      </c>
    </row>
    <row r="223" spans="1:21">
      <c r="A223" s="34"/>
      <c r="B223" s="40"/>
      <c r="C223" s="42"/>
      <c r="D223" s="42"/>
      <c r="E223" s="42"/>
      <c r="F223" s="43"/>
      <c r="Q223" s="33"/>
      <c r="R223" s="35">
        <f t="shared" si="40"/>
        <v>0</v>
      </c>
      <c r="S223" s="35">
        <f t="shared" si="41"/>
        <v>0</v>
      </c>
      <c r="T223" s="35">
        <f t="shared" si="38"/>
        <v>0</v>
      </c>
      <c r="U223" s="35">
        <f t="shared" si="39"/>
        <v>0</v>
      </c>
    </row>
    <row r="224" spans="1:21">
      <c r="A224" s="34"/>
      <c r="B224" s="40"/>
      <c r="C224" s="42"/>
      <c r="D224" s="42"/>
      <c r="E224" s="42"/>
      <c r="F224" s="43"/>
      <c r="Q224" s="33"/>
      <c r="R224" s="35">
        <f t="shared" si="40"/>
        <v>0</v>
      </c>
      <c r="S224" s="35">
        <f t="shared" si="41"/>
        <v>0</v>
      </c>
      <c r="T224" s="35">
        <f t="shared" si="38"/>
        <v>0</v>
      </c>
      <c r="U224" s="35">
        <f t="shared" si="39"/>
        <v>0</v>
      </c>
    </row>
    <row r="225" spans="1:21">
      <c r="A225" s="34"/>
      <c r="B225" s="40"/>
      <c r="C225" s="42"/>
      <c r="D225" s="42"/>
      <c r="E225" s="42"/>
      <c r="F225" s="43"/>
      <c r="Q225" s="33"/>
      <c r="R225" s="35">
        <f t="shared" si="40"/>
        <v>0</v>
      </c>
      <c r="S225" s="35">
        <f t="shared" si="41"/>
        <v>0</v>
      </c>
      <c r="T225" s="35">
        <f t="shared" si="38"/>
        <v>0</v>
      </c>
      <c r="U225" s="35">
        <f t="shared" si="39"/>
        <v>0</v>
      </c>
    </row>
    <row r="226" spans="1:21">
      <c r="A226" s="34"/>
      <c r="B226" s="40"/>
      <c r="C226" s="42"/>
      <c r="D226" s="42"/>
      <c r="E226" s="42"/>
      <c r="F226" s="43"/>
      <c r="Q226" s="33"/>
      <c r="R226" s="35">
        <f t="shared" si="40"/>
        <v>0</v>
      </c>
      <c r="S226" s="35">
        <f t="shared" si="41"/>
        <v>0</v>
      </c>
      <c r="T226" s="35">
        <f t="shared" si="38"/>
        <v>0</v>
      </c>
      <c r="U226" s="35">
        <f t="shared" si="39"/>
        <v>0</v>
      </c>
    </row>
    <row r="227" spans="1:21">
      <c r="A227" s="34"/>
      <c r="B227" s="40"/>
      <c r="C227" s="42"/>
      <c r="D227" s="42"/>
      <c r="E227" s="42"/>
      <c r="F227" s="43"/>
      <c r="Q227" s="33"/>
      <c r="R227" s="35">
        <f t="shared" si="40"/>
        <v>0</v>
      </c>
      <c r="S227" s="35">
        <f t="shared" si="41"/>
        <v>0</v>
      </c>
      <c r="T227" s="35">
        <f t="shared" si="38"/>
        <v>0</v>
      </c>
      <c r="U227" s="35">
        <f t="shared" si="39"/>
        <v>0</v>
      </c>
    </row>
    <row r="228" spans="1:21">
      <c r="A228" s="34"/>
      <c r="B228" s="40"/>
      <c r="C228" s="42"/>
      <c r="D228" s="42"/>
      <c r="E228" s="42"/>
      <c r="F228" s="43"/>
      <c r="Q228" s="33"/>
      <c r="R228" s="35">
        <f t="shared" si="40"/>
        <v>0</v>
      </c>
      <c r="S228" s="35">
        <f t="shared" si="41"/>
        <v>0</v>
      </c>
      <c r="T228" s="35">
        <f t="shared" si="38"/>
        <v>0</v>
      </c>
      <c r="U228" s="35">
        <f t="shared" si="39"/>
        <v>0</v>
      </c>
    </row>
    <row r="229" spans="1:21">
      <c r="A229" s="34"/>
      <c r="B229" s="40"/>
      <c r="C229" s="42"/>
      <c r="D229" s="42"/>
      <c r="E229" s="42"/>
      <c r="F229" s="43"/>
      <c r="Q229" s="33"/>
      <c r="R229" s="35">
        <f t="shared" si="40"/>
        <v>0</v>
      </c>
      <c r="S229" s="35">
        <f t="shared" si="41"/>
        <v>0</v>
      </c>
      <c r="T229" s="35">
        <f t="shared" si="38"/>
        <v>0</v>
      </c>
      <c r="U229" s="35">
        <f t="shared" si="39"/>
        <v>0</v>
      </c>
    </row>
    <row r="230" spans="1:21">
      <c r="A230" s="34"/>
      <c r="B230" s="40"/>
      <c r="C230" s="42"/>
      <c r="D230" s="42"/>
      <c r="E230" s="42"/>
      <c r="F230" s="43"/>
      <c r="Q230" s="33"/>
      <c r="R230" s="35">
        <f t="shared" si="40"/>
        <v>0</v>
      </c>
      <c r="S230" s="35">
        <f t="shared" si="41"/>
        <v>0</v>
      </c>
      <c r="T230" s="35">
        <f t="shared" si="38"/>
        <v>0</v>
      </c>
      <c r="U230" s="35">
        <f t="shared" si="39"/>
        <v>0</v>
      </c>
    </row>
    <row r="231" spans="1:21">
      <c r="A231" s="34"/>
      <c r="B231" s="40"/>
      <c r="C231" s="42"/>
      <c r="D231" s="42"/>
      <c r="E231" s="42"/>
      <c r="F231" s="43"/>
      <c r="Q231" s="33"/>
      <c r="R231" s="35">
        <f t="shared" si="40"/>
        <v>0</v>
      </c>
      <c r="S231" s="35">
        <f t="shared" si="41"/>
        <v>0</v>
      </c>
      <c r="T231" s="35">
        <f t="shared" si="38"/>
        <v>0</v>
      </c>
      <c r="U231" s="35">
        <f t="shared" si="39"/>
        <v>0</v>
      </c>
    </row>
    <row r="232" spans="1:21">
      <c r="A232" s="34"/>
      <c r="B232" s="40"/>
      <c r="C232" s="42"/>
      <c r="D232" s="42"/>
      <c r="E232" s="42"/>
      <c r="F232" s="43"/>
      <c r="Q232" s="33"/>
      <c r="R232" s="35">
        <f t="shared" si="40"/>
        <v>0</v>
      </c>
      <c r="S232" s="35">
        <f t="shared" si="41"/>
        <v>0</v>
      </c>
      <c r="T232" s="35">
        <f t="shared" si="38"/>
        <v>0</v>
      </c>
      <c r="U232" s="35">
        <f t="shared" si="39"/>
        <v>0</v>
      </c>
    </row>
    <row r="233" spans="1:21">
      <c r="A233" s="34"/>
      <c r="B233" s="40"/>
      <c r="C233" s="42"/>
      <c r="D233" s="42"/>
      <c r="E233" s="42"/>
      <c r="F233" s="43"/>
      <c r="Q233" s="33"/>
      <c r="R233" s="35">
        <f t="shared" si="40"/>
        <v>0</v>
      </c>
      <c r="S233" s="35">
        <f t="shared" si="41"/>
        <v>0</v>
      </c>
      <c r="T233" s="35">
        <f t="shared" si="38"/>
        <v>0</v>
      </c>
      <c r="U233" s="35">
        <f t="shared" si="39"/>
        <v>0</v>
      </c>
    </row>
    <row r="234" spans="1:21">
      <c r="A234" s="34"/>
      <c r="B234" s="40"/>
      <c r="C234" s="42"/>
      <c r="D234" s="42"/>
      <c r="E234" s="42"/>
      <c r="F234" s="43"/>
      <c r="Q234" s="33"/>
      <c r="R234" s="35">
        <f t="shared" si="40"/>
        <v>0</v>
      </c>
      <c r="S234" s="35">
        <f t="shared" si="41"/>
        <v>0</v>
      </c>
      <c r="T234" s="35">
        <f t="shared" si="38"/>
        <v>0</v>
      </c>
      <c r="U234" s="35">
        <f t="shared" si="39"/>
        <v>0</v>
      </c>
    </row>
    <row r="235" spans="1:21">
      <c r="A235" s="34"/>
      <c r="B235" s="40"/>
      <c r="C235" s="42"/>
      <c r="D235" s="42"/>
      <c r="E235" s="42"/>
      <c r="F235" s="43"/>
      <c r="Q235" s="33"/>
      <c r="R235" s="35">
        <f t="shared" si="40"/>
        <v>0</v>
      </c>
      <c r="S235" s="35">
        <f t="shared" si="41"/>
        <v>0</v>
      </c>
      <c r="T235" s="35">
        <f t="shared" si="38"/>
        <v>0</v>
      </c>
      <c r="U235" s="35">
        <f t="shared" si="39"/>
        <v>0</v>
      </c>
    </row>
    <row r="236" spans="1:21">
      <c r="A236" s="34"/>
      <c r="B236" s="40"/>
      <c r="C236" s="42"/>
      <c r="D236" s="42"/>
      <c r="E236" s="42"/>
      <c r="F236" s="43"/>
      <c r="Q236" s="33"/>
      <c r="R236" s="35">
        <f t="shared" si="40"/>
        <v>0</v>
      </c>
      <c r="S236" s="35">
        <f t="shared" si="41"/>
        <v>0</v>
      </c>
      <c r="T236" s="35">
        <f t="shared" si="38"/>
        <v>0</v>
      </c>
      <c r="U236" s="35">
        <f t="shared" si="39"/>
        <v>0</v>
      </c>
    </row>
    <row r="237" spans="1:21">
      <c r="A237" s="34"/>
      <c r="B237" s="40"/>
      <c r="C237" s="42"/>
      <c r="D237" s="42"/>
      <c r="E237" s="42"/>
      <c r="F237" s="43"/>
      <c r="Q237" s="33"/>
      <c r="R237" s="35">
        <f t="shared" si="40"/>
        <v>0</v>
      </c>
      <c r="S237" s="35">
        <f t="shared" si="41"/>
        <v>0</v>
      </c>
      <c r="T237" s="35">
        <f t="shared" si="38"/>
        <v>0</v>
      </c>
      <c r="U237" s="35">
        <f t="shared" si="39"/>
        <v>0</v>
      </c>
    </row>
    <row r="238" spans="1:21">
      <c r="A238" s="34"/>
      <c r="B238" s="40"/>
      <c r="C238" s="42"/>
      <c r="D238" s="42"/>
      <c r="E238" s="42"/>
      <c r="F238" s="43"/>
      <c r="Q238" s="33"/>
      <c r="R238" s="35">
        <f t="shared" si="40"/>
        <v>0</v>
      </c>
      <c r="S238" s="35">
        <f t="shared" si="41"/>
        <v>0</v>
      </c>
      <c r="T238" s="35">
        <f t="shared" si="38"/>
        <v>0</v>
      </c>
      <c r="U238" s="35">
        <f t="shared" si="39"/>
        <v>0</v>
      </c>
    </row>
    <row r="239" spans="1:21">
      <c r="A239" s="34"/>
      <c r="B239" s="40"/>
      <c r="C239" s="42"/>
      <c r="D239" s="42"/>
      <c r="E239" s="42"/>
      <c r="F239" s="43"/>
      <c r="Q239" s="33"/>
      <c r="R239" s="35">
        <f t="shared" si="40"/>
        <v>0</v>
      </c>
      <c r="S239" s="35">
        <f t="shared" si="41"/>
        <v>0</v>
      </c>
      <c r="T239" s="35">
        <f t="shared" si="38"/>
        <v>0</v>
      </c>
      <c r="U239" s="35">
        <f t="shared" si="39"/>
        <v>0</v>
      </c>
    </row>
    <row r="240" spans="1:21">
      <c r="A240" s="34"/>
      <c r="B240" s="40"/>
      <c r="C240" s="42"/>
      <c r="D240" s="42"/>
      <c r="E240" s="42"/>
      <c r="F240" s="43"/>
      <c r="Q240" s="33"/>
      <c r="R240" s="35">
        <f t="shared" si="40"/>
        <v>0</v>
      </c>
      <c r="S240" s="35">
        <f t="shared" si="41"/>
        <v>0</v>
      </c>
      <c r="T240" s="35">
        <f t="shared" si="38"/>
        <v>0</v>
      </c>
      <c r="U240" s="35">
        <f t="shared" si="39"/>
        <v>0</v>
      </c>
    </row>
    <row r="241" spans="1:21">
      <c r="A241" s="34"/>
      <c r="B241" s="40"/>
      <c r="C241" s="42"/>
      <c r="D241" s="42"/>
      <c r="E241" s="42"/>
      <c r="F241" s="43"/>
      <c r="Q241" s="33"/>
      <c r="R241" s="35">
        <f t="shared" si="40"/>
        <v>0</v>
      </c>
      <c r="S241" s="35">
        <f t="shared" si="41"/>
        <v>0</v>
      </c>
      <c r="T241" s="35">
        <f t="shared" si="38"/>
        <v>0</v>
      </c>
      <c r="U241" s="35">
        <f t="shared" si="39"/>
        <v>0</v>
      </c>
    </row>
    <row r="242" spans="1:21">
      <c r="A242" s="34"/>
      <c r="B242" s="40"/>
      <c r="C242" s="42"/>
      <c r="D242" s="42"/>
      <c r="E242" s="42"/>
      <c r="F242" s="43"/>
      <c r="Q242" s="33"/>
      <c r="R242" s="35">
        <f t="shared" si="40"/>
        <v>0</v>
      </c>
      <c r="S242" s="35">
        <f t="shared" si="41"/>
        <v>0</v>
      </c>
      <c r="T242" s="35">
        <f t="shared" si="38"/>
        <v>0</v>
      </c>
      <c r="U242" s="35">
        <f t="shared" si="39"/>
        <v>0</v>
      </c>
    </row>
    <row r="243" spans="1:21">
      <c r="A243" s="34"/>
      <c r="B243" s="40"/>
      <c r="C243" s="42"/>
      <c r="D243" s="42"/>
      <c r="E243" s="42"/>
      <c r="F243" s="43"/>
      <c r="Q243" s="33"/>
      <c r="R243" s="35">
        <f t="shared" si="40"/>
        <v>0</v>
      </c>
      <c r="S243" s="35">
        <f t="shared" si="41"/>
        <v>0</v>
      </c>
      <c r="T243" s="35">
        <f t="shared" si="38"/>
        <v>0</v>
      </c>
      <c r="U243" s="35">
        <f t="shared" si="39"/>
        <v>0</v>
      </c>
    </row>
    <row r="244" spans="1:21">
      <c r="A244" s="34"/>
      <c r="B244" s="40"/>
      <c r="C244" s="42"/>
      <c r="D244" s="42"/>
      <c r="E244" s="42"/>
      <c r="F244" s="43"/>
      <c r="Q244" s="33"/>
      <c r="R244" s="35">
        <f t="shared" si="40"/>
        <v>0</v>
      </c>
      <c r="S244" s="35">
        <f t="shared" si="41"/>
        <v>0</v>
      </c>
      <c r="T244" s="35">
        <f t="shared" si="38"/>
        <v>0</v>
      </c>
      <c r="U244" s="35">
        <f t="shared" si="39"/>
        <v>0</v>
      </c>
    </row>
    <row r="245" spans="1:21">
      <c r="A245" s="34"/>
      <c r="B245" s="40"/>
      <c r="C245" s="42"/>
      <c r="D245" s="42"/>
      <c r="E245" s="42"/>
      <c r="F245" s="43"/>
      <c r="Q245" s="33"/>
    </row>
    <row r="246" spans="1:21">
      <c r="A246" s="34"/>
      <c r="B246" s="40"/>
      <c r="C246" s="42"/>
      <c r="D246" s="42"/>
      <c r="E246" s="42"/>
      <c r="F246" s="43"/>
      <c r="Q246" s="33"/>
    </row>
    <row r="247" spans="1:21">
      <c r="A247" s="34"/>
      <c r="B247" s="40"/>
      <c r="C247" s="42"/>
      <c r="D247" s="42"/>
      <c r="E247" s="42"/>
      <c r="F247" s="43"/>
      <c r="Q247" s="33"/>
    </row>
    <row r="248" spans="1:21">
      <c r="A248" s="34"/>
      <c r="B248" s="40"/>
      <c r="C248" s="42"/>
      <c r="D248" s="42"/>
      <c r="E248" s="42"/>
      <c r="F248" s="43"/>
      <c r="Q248" s="33"/>
    </row>
    <row r="249" spans="1:21" ht="14.25" thickBot="1">
      <c r="A249" s="34"/>
      <c r="B249" s="44"/>
      <c r="C249" s="45"/>
      <c r="D249" s="45"/>
      <c r="E249" s="45"/>
      <c r="F249" s="46"/>
      <c r="Q249" s="33"/>
    </row>
    <row r="250" spans="1:21" ht="14.25" thickBot="1">
      <c r="A250" s="34"/>
      <c r="Q250" s="33"/>
    </row>
    <row r="251" spans="1:21">
      <c r="A251" s="31"/>
      <c r="B251" s="37" t="s">
        <v>32</v>
      </c>
      <c r="C251" s="38" t="s">
        <v>33</v>
      </c>
      <c r="D251" s="38" t="s">
        <v>34</v>
      </c>
      <c r="E251" s="38" t="s">
        <v>31</v>
      </c>
      <c r="F251" s="39" t="s">
        <v>35</v>
      </c>
      <c r="Q251" s="31"/>
      <c r="R251" s="3" t="str">
        <f>C251</f>
        <v>min</v>
      </c>
      <c r="S251" s="3" t="str">
        <f>D251</f>
        <v>max</v>
      </c>
      <c r="T251" t="str">
        <f>E251</f>
        <v>avg</v>
      </c>
    </row>
    <row r="252" spans="1:21">
      <c r="A252" s="31"/>
      <c r="B252" s="40">
        <v>1</v>
      </c>
      <c r="C252" s="42">
        <v>0.936348676681519</v>
      </c>
      <c r="D252" s="42">
        <v>5.5615399596483801</v>
      </c>
      <c r="E252" s="42">
        <v>1.9223817206131699</v>
      </c>
      <c r="F252" s="43">
        <v>1424.63381200093</v>
      </c>
      <c r="Q252" s="31"/>
      <c r="R252" s="3">
        <f>C252/100</f>
        <v>9.3634867668151902E-3</v>
      </c>
      <c r="S252" s="3">
        <f>(D252-C252)/100</f>
        <v>4.6251912829668618E-2</v>
      </c>
      <c r="T252">
        <f>E252/100</f>
        <v>1.9223817206131699E-2</v>
      </c>
    </row>
    <row r="253" spans="1:21">
      <c r="A253" s="31"/>
      <c r="B253" s="40">
        <v>2</v>
      </c>
      <c r="C253" s="42">
        <v>1.1733333110809301</v>
      </c>
      <c r="D253" s="42">
        <v>10.903788760304501</v>
      </c>
      <c r="E253" s="42">
        <v>2.8240226966542501</v>
      </c>
      <c r="F253" s="43">
        <v>4348.2218223905002</v>
      </c>
      <c r="Q253" s="31"/>
      <c r="R253" s="3">
        <f>C253/100</f>
        <v>1.1733333110809301E-2</v>
      </c>
      <c r="S253" s="3">
        <f>(D253-C253)/100</f>
        <v>9.7304554492235712E-2</v>
      </c>
      <c r="T253">
        <f>E253/100</f>
        <v>2.8240226966542503E-2</v>
      </c>
    </row>
    <row r="254" spans="1:21">
      <c r="A254" s="31"/>
      <c r="B254" s="40">
        <v>4</v>
      </c>
      <c r="C254" s="42">
        <v>1.6902083337306999</v>
      </c>
      <c r="D254" s="42">
        <v>6.3087916374206499</v>
      </c>
      <c r="E254" s="42">
        <v>2.2555407996608201</v>
      </c>
      <c r="F254" s="43">
        <v>11061.3687301595</v>
      </c>
      <c r="Q254" s="31"/>
      <c r="R254" s="3">
        <f t="shared" ref="R254:R255" si="42">C254/100</f>
        <v>1.6902083337307E-2</v>
      </c>
      <c r="S254" s="3">
        <f t="shared" ref="S254:S255" si="43">(D254-C254)/100</f>
        <v>4.61858330368995E-2</v>
      </c>
      <c r="T254">
        <f t="shared" ref="T254:T255" si="44">E254/100</f>
        <v>2.2555407996608202E-2</v>
      </c>
    </row>
    <row r="255" spans="1:21" ht="14.25" thickBot="1">
      <c r="A255" s="31"/>
      <c r="B255" s="44">
        <v>8</v>
      </c>
      <c r="C255" s="45">
        <v>0.23322916775941799</v>
      </c>
      <c r="D255" s="45">
        <v>2.0344031055768301</v>
      </c>
      <c r="E255" s="45">
        <v>0.73088699168917104</v>
      </c>
      <c r="F255" s="46">
        <v>12985.534001928199</v>
      </c>
      <c r="Q255" s="31"/>
      <c r="R255" s="3">
        <f t="shared" si="42"/>
        <v>2.3322916775941798E-3</v>
      </c>
      <c r="S255" s="3">
        <f t="shared" si="43"/>
        <v>1.8011739378174119E-2</v>
      </c>
      <c r="T255">
        <f t="shared" si="44"/>
        <v>7.3088699168917101E-3</v>
      </c>
    </row>
    <row r="355" spans="21:21">
      <c r="U355" s="3"/>
    </row>
    <row r="356" spans="21:21">
      <c r="U356" s="3"/>
    </row>
    <row r="429" spans="3:3">
      <c r="C429" s="15"/>
    </row>
    <row r="430" spans="3:3">
      <c r="C430" s="15"/>
    </row>
    <row r="431" spans="3:3">
      <c r="C431" s="15"/>
    </row>
    <row r="432" spans="3:3">
      <c r="C432" s="15"/>
    </row>
    <row r="433" spans="3:3">
      <c r="C433" s="15"/>
    </row>
    <row r="434" spans="3:3">
      <c r="C434" s="15"/>
    </row>
    <row r="435" spans="3:3">
      <c r="C435" s="15"/>
    </row>
    <row r="436" spans="3:3">
      <c r="C436" s="15"/>
    </row>
    <row r="437" spans="3:3">
      <c r="C437" s="15"/>
    </row>
    <row r="438" spans="3:3">
      <c r="C438" s="15"/>
    </row>
    <row r="439" spans="3:3">
      <c r="C439" s="15"/>
    </row>
    <row r="440" spans="3:3">
      <c r="C440" s="15"/>
    </row>
    <row r="441" spans="3:3">
      <c r="C441" s="15"/>
    </row>
    <row r="442" spans="3:3">
      <c r="C442" s="15"/>
    </row>
    <row r="443" spans="3:3">
      <c r="C443" s="15"/>
    </row>
    <row r="444" spans="3:3">
      <c r="C444" s="15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3"/>
  <dimension ref="A1:P393"/>
  <sheetViews>
    <sheetView topLeftCell="E267" zoomScale="70" zoomScaleNormal="70" workbookViewId="0">
      <selection activeCell="J281" sqref="J281"/>
    </sheetView>
  </sheetViews>
  <sheetFormatPr defaultRowHeight="13.5"/>
  <cols>
    <col min="1" max="1" width="4.42578125" style="2" bestFit="1" customWidth="1"/>
    <col min="2" max="2" width="9.5703125" bestFit="1" customWidth="1"/>
    <col min="3" max="3" width="24.140625" customWidth="1"/>
    <col min="4" max="4" width="25.42578125" customWidth="1"/>
    <col min="5" max="5" width="24.42578125" customWidth="1"/>
    <col min="6" max="6" width="16.5703125" style="3" customWidth="1"/>
    <col min="7" max="7" width="17" customWidth="1"/>
    <col min="8" max="8" width="21.7109375" customWidth="1"/>
    <col min="9" max="9" width="22.140625" customWidth="1"/>
    <col min="10" max="10" width="20.140625" customWidth="1"/>
    <col min="11" max="11" width="20.140625" bestFit="1" customWidth="1"/>
    <col min="12" max="12" width="4.5703125" style="18" customWidth="1"/>
  </cols>
  <sheetData>
    <row r="1" spans="1:14" s="2" customFormat="1">
      <c r="A1" s="4" t="s">
        <v>0</v>
      </c>
      <c r="B1" s="2" t="s">
        <v>4</v>
      </c>
      <c r="C1" s="2" t="s">
        <v>7</v>
      </c>
      <c r="D1" s="2" t="s">
        <v>45</v>
      </c>
      <c r="E1" s="2" t="s">
        <v>9</v>
      </c>
      <c r="F1" s="5" t="s">
        <v>11</v>
      </c>
      <c r="L1" s="17"/>
      <c r="M1" s="2" t="s">
        <v>2</v>
      </c>
      <c r="N1" s="2" t="s">
        <v>3</v>
      </c>
    </row>
    <row r="2" spans="1:14">
      <c r="A2" s="4">
        <v>1</v>
      </c>
      <c r="B2" s="9">
        <v>40349</v>
      </c>
      <c r="C2" s="1"/>
      <c r="D2" s="1"/>
      <c r="E2" s="1"/>
      <c r="F2" s="11"/>
      <c r="I2" s="10"/>
      <c r="M2" s="10">
        <v>70</v>
      </c>
      <c r="N2" s="10">
        <v>80</v>
      </c>
    </row>
    <row r="3" spans="1:14">
      <c r="A3" s="4">
        <v>2</v>
      </c>
      <c r="B3" s="9">
        <v>40350</v>
      </c>
      <c r="C3" s="1"/>
      <c r="D3" s="1"/>
      <c r="E3" s="1"/>
      <c r="F3" s="11"/>
      <c r="M3">
        <f>M2</f>
        <v>70</v>
      </c>
      <c r="N3">
        <f>N2</f>
        <v>80</v>
      </c>
    </row>
    <row r="4" spans="1:14">
      <c r="A4" s="4">
        <v>3</v>
      </c>
      <c r="B4" s="9">
        <v>40351</v>
      </c>
      <c r="C4" s="1"/>
      <c r="D4" s="1"/>
      <c r="E4" s="1"/>
      <c r="F4" s="11"/>
      <c r="M4">
        <f t="shared" ref="M4:N19" si="0">M3</f>
        <v>70</v>
      </c>
      <c r="N4">
        <f t="shared" si="0"/>
        <v>80</v>
      </c>
    </row>
    <row r="5" spans="1:14">
      <c r="A5" s="4">
        <v>4</v>
      </c>
      <c r="B5" s="9">
        <v>40352</v>
      </c>
      <c r="C5" s="1"/>
      <c r="D5" s="1"/>
      <c r="E5" s="1"/>
      <c r="F5" s="11"/>
      <c r="M5">
        <f t="shared" si="0"/>
        <v>70</v>
      </c>
      <c r="N5">
        <f t="shared" si="0"/>
        <v>80</v>
      </c>
    </row>
    <row r="6" spans="1:14">
      <c r="A6" s="4">
        <v>5</v>
      </c>
      <c r="B6" s="9">
        <v>40353</v>
      </c>
      <c r="C6" s="1"/>
      <c r="D6" s="1"/>
      <c r="E6" s="1"/>
      <c r="F6" s="11"/>
      <c r="M6">
        <f t="shared" si="0"/>
        <v>70</v>
      </c>
      <c r="N6">
        <f t="shared" si="0"/>
        <v>80</v>
      </c>
    </row>
    <row r="7" spans="1:14">
      <c r="A7" s="4">
        <v>6</v>
      </c>
      <c r="B7" s="9">
        <v>40354</v>
      </c>
      <c r="C7" s="1"/>
      <c r="D7" s="1"/>
      <c r="E7" s="1"/>
      <c r="F7" s="11"/>
      <c r="M7">
        <f t="shared" si="0"/>
        <v>70</v>
      </c>
      <c r="N7">
        <f t="shared" si="0"/>
        <v>80</v>
      </c>
    </row>
    <row r="8" spans="1:14">
      <c r="A8" s="4">
        <v>7</v>
      </c>
      <c r="B8" s="9">
        <v>40355</v>
      </c>
      <c r="C8" s="1"/>
      <c r="D8" s="1"/>
      <c r="E8" s="1"/>
      <c r="F8" s="11"/>
      <c r="M8">
        <f t="shared" si="0"/>
        <v>70</v>
      </c>
      <c r="N8">
        <f t="shared" si="0"/>
        <v>80</v>
      </c>
    </row>
    <row r="9" spans="1:14">
      <c r="A9" s="4">
        <v>8</v>
      </c>
      <c r="B9" s="9">
        <v>40356</v>
      </c>
      <c r="C9" s="1"/>
      <c r="D9" s="1"/>
      <c r="E9" s="1"/>
      <c r="F9" s="11"/>
      <c r="M9">
        <f t="shared" si="0"/>
        <v>70</v>
      </c>
      <c r="N9">
        <f t="shared" si="0"/>
        <v>80</v>
      </c>
    </row>
    <row r="10" spans="1:14">
      <c r="A10" s="4">
        <v>9</v>
      </c>
      <c r="B10" s="9">
        <v>40357</v>
      </c>
      <c r="C10" s="1"/>
      <c r="D10" s="1"/>
      <c r="E10" s="1"/>
      <c r="F10" s="11"/>
      <c r="M10">
        <f t="shared" si="0"/>
        <v>70</v>
      </c>
      <c r="N10">
        <f t="shared" si="0"/>
        <v>80</v>
      </c>
    </row>
    <row r="11" spans="1:14">
      <c r="A11" s="4">
        <v>10</v>
      </c>
      <c r="B11" s="9">
        <v>40358</v>
      </c>
      <c r="C11" s="1"/>
      <c r="D11" s="1"/>
      <c r="E11" s="1"/>
      <c r="F11" s="11"/>
      <c r="M11">
        <f t="shared" si="0"/>
        <v>70</v>
      </c>
      <c r="N11">
        <f t="shared" si="0"/>
        <v>80</v>
      </c>
    </row>
    <row r="12" spans="1:14">
      <c r="A12" s="4">
        <v>11</v>
      </c>
      <c r="B12" s="9">
        <v>40359</v>
      </c>
      <c r="C12" s="1"/>
      <c r="D12" s="1"/>
      <c r="E12" s="1"/>
      <c r="F12" s="11"/>
      <c r="M12">
        <f t="shared" si="0"/>
        <v>70</v>
      </c>
      <c r="N12">
        <f t="shared" si="0"/>
        <v>80</v>
      </c>
    </row>
    <row r="13" spans="1:14">
      <c r="A13" s="4">
        <v>12</v>
      </c>
      <c r="B13" s="9">
        <v>40360</v>
      </c>
      <c r="C13" s="1"/>
      <c r="D13" s="1"/>
      <c r="E13" s="1"/>
      <c r="F13" s="11"/>
      <c r="M13">
        <f t="shared" si="0"/>
        <v>70</v>
      </c>
      <c r="N13">
        <f t="shared" si="0"/>
        <v>80</v>
      </c>
    </row>
    <row r="14" spans="1:14">
      <c r="A14" s="4">
        <v>13</v>
      </c>
      <c r="B14" s="9">
        <v>40361</v>
      </c>
      <c r="C14" s="1"/>
      <c r="D14" s="1"/>
      <c r="E14" s="1"/>
      <c r="F14" s="11"/>
      <c r="M14">
        <f t="shared" si="0"/>
        <v>70</v>
      </c>
      <c r="N14">
        <f t="shared" si="0"/>
        <v>80</v>
      </c>
    </row>
    <row r="15" spans="1:14">
      <c r="A15" s="4">
        <v>14</v>
      </c>
      <c r="B15" s="9">
        <v>40362</v>
      </c>
      <c r="C15" s="1"/>
      <c r="D15" s="1"/>
      <c r="E15" s="1"/>
      <c r="F15" s="11"/>
      <c r="M15">
        <f t="shared" si="0"/>
        <v>70</v>
      </c>
      <c r="N15">
        <f t="shared" si="0"/>
        <v>80</v>
      </c>
    </row>
    <row r="16" spans="1:14">
      <c r="A16" s="4">
        <v>15</v>
      </c>
      <c r="B16" s="9">
        <v>40363</v>
      </c>
      <c r="C16" s="1"/>
      <c r="D16" s="1"/>
      <c r="E16" s="1"/>
      <c r="F16" s="11"/>
      <c r="M16">
        <f t="shared" si="0"/>
        <v>70</v>
      </c>
      <c r="N16">
        <f t="shared" si="0"/>
        <v>80</v>
      </c>
    </row>
    <row r="17" spans="1:14">
      <c r="A17" s="4">
        <v>16</v>
      </c>
      <c r="B17" s="9">
        <v>40364</v>
      </c>
      <c r="C17" s="1"/>
      <c r="D17" s="1"/>
      <c r="E17" s="1"/>
      <c r="F17" s="11"/>
      <c r="M17">
        <f t="shared" si="0"/>
        <v>70</v>
      </c>
      <c r="N17">
        <f t="shared" si="0"/>
        <v>80</v>
      </c>
    </row>
    <row r="18" spans="1:14">
      <c r="A18" s="4">
        <v>17</v>
      </c>
      <c r="B18" s="9">
        <v>40365</v>
      </c>
      <c r="C18" s="1"/>
      <c r="D18" s="1"/>
      <c r="E18" s="1"/>
      <c r="F18" s="11"/>
      <c r="M18">
        <f t="shared" si="0"/>
        <v>70</v>
      </c>
      <c r="N18">
        <f t="shared" si="0"/>
        <v>80</v>
      </c>
    </row>
    <row r="19" spans="1:14">
      <c r="A19" s="4">
        <v>18</v>
      </c>
      <c r="B19" s="9">
        <v>40366</v>
      </c>
      <c r="C19" s="1"/>
      <c r="D19" s="1"/>
      <c r="E19" s="1"/>
      <c r="F19" s="11"/>
      <c r="M19">
        <f t="shared" si="0"/>
        <v>70</v>
      </c>
      <c r="N19">
        <f t="shared" si="0"/>
        <v>80</v>
      </c>
    </row>
    <row r="20" spans="1:14">
      <c r="A20" s="4">
        <v>19</v>
      </c>
      <c r="B20" s="9">
        <v>40367</v>
      </c>
      <c r="C20" s="1"/>
      <c r="D20" s="1"/>
      <c r="E20" s="1"/>
      <c r="F20" s="11"/>
      <c r="M20">
        <f t="shared" ref="M20:N35" si="1">M19</f>
        <v>70</v>
      </c>
      <c r="N20">
        <f t="shared" si="1"/>
        <v>80</v>
      </c>
    </row>
    <row r="21" spans="1:14">
      <c r="A21" s="4">
        <v>20</v>
      </c>
      <c r="B21" s="9">
        <v>40368</v>
      </c>
      <c r="C21" s="1"/>
      <c r="D21" s="1"/>
      <c r="E21" s="1"/>
      <c r="F21" s="11"/>
      <c r="M21">
        <f t="shared" si="1"/>
        <v>70</v>
      </c>
      <c r="N21">
        <f t="shared" si="1"/>
        <v>80</v>
      </c>
    </row>
    <row r="22" spans="1:14">
      <c r="A22" s="4">
        <v>21</v>
      </c>
      <c r="B22" s="9">
        <v>40369</v>
      </c>
      <c r="C22" s="1"/>
      <c r="D22" s="1"/>
      <c r="E22" s="1"/>
      <c r="F22" s="12"/>
      <c r="M22">
        <f t="shared" si="1"/>
        <v>70</v>
      </c>
      <c r="N22">
        <f t="shared" si="1"/>
        <v>80</v>
      </c>
    </row>
    <row r="23" spans="1:14">
      <c r="A23" s="4">
        <v>22</v>
      </c>
      <c r="B23" s="9">
        <v>40370</v>
      </c>
      <c r="C23" s="1"/>
      <c r="D23" s="1"/>
      <c r="E23" s="1"/>
      <c r="F23" s="12"/>
      <c r="M23">
        <f t="shared" si="1"/>
        <v>70</v>
      </c>
      <c r="N23">
        <f t="shared" si="1"/>
        <v>80</v>
      </c>
    </row>
    <row r="24" spans="1:14">
      <c r="A24" s="4">
        <v>23</v>
      </c>
      <c r="B24" s="9">
        <v>40371</v>
      </c>
      <c r="C24" s="1"/>
      <c r="D24" s="1"/>
      <c r="E24" s="1"/>
      <c r="F24" s="12"/>
      <c r="M24">
        <f t="shared" si="1"/>
        <v>70</v>
      </c>
      <c r="N24">
        <f t="shared" si="1"/>
        <v>80</v>
      </c>
    </row>
    <row r="25" spans="1:14">
      <c r="A25" s="4">
        <v>24</v>
      </c>
      <c r="B25" s="9">
        <v>40372</v>
      </c>
      <c r="C25" s="1"/>
      <c r="D25" s="1"/>
      <c r="E25" s="1"/>
      <c r="F25" s="12"/>
      <c r="M25">
        <f t="shared" si="1"/>
        <v>70</v>
      </c>
      <c r="N25">
        <f t="shared" si="1"/>
        <v>80</v>
      </c>
    </row>
    <row r="26" spans="1:14">
      <c r="A26" s="4">
        <v>25</v>
      </c>
      <c r="B26" s="9">
        <v>40373</v>
      </c>
      <c r="C26" s="1"/>
      <c r="D26" s="1"/>
      <c r="E26" s="1"/>
      <c r="F26" s="12"/>
      <c r="M26">
        <f t="shared" si="1"/>
        <v>70</v>
      </c>
      <c r="N26">
        <f t="shared" si="1"/>
        <v>80</v>
      </c>
    </row>
    <row r="27" spans="1:14">
      <c r="A27" s="4">
        <v>26</v>
      </c>
      <c r="B27" s="9">
        <v>40374</v>
      </c>
      <c r="C27" s="1"/>
      <c r="D27" s="1"/>
      <c r="E27" s="1"/>
      <c r="F27" s="12"/>
      <c r="M27">
        <f t="shared" si="1"/>
        <v>70</v>
      </c>
      <c r="N27">
        <f t="shared" si="1"/>
        <v>80</v>
      </c>
    </row>
    <row r="28" spans="1:14">
      <c r="A28" s="4">
        <v>27</v>
      </c>
      <c r="B28" s="9">
        <v>40375</v>
      </c>
      <c r="C28" s="1"/>
      <c r="D28" s="1"/>
      <c r="E28" s="1"/>
      <c r="F28" s="12"/>
      <c r="M28">
        <f t="shared" si="1"/>
        <v>70</v>
      </c>
      <c r="N28">
        <f t="shared" si="1"/>
        <v>80</v>
      </c>
    </row>
    <row r="29" spans="1:14">
      <c r="A29" s="4">
        <v>28</v>
      </c>
      <c r="B29" s="9">
        <v>40376</v>
      </c>
      <c r="C29" s="1"/>
      <c r="D29" s="1"/>
      <c r="E29" s="1"/>
      <c r="F29" s="12"/>
      <c r="M29">
        <f t="shared" si="1"/>
        <v>70</v>
      </c>
      <c r="N29">
        <f t="shared" si="1"/>
        <v>80</v>
      </c>
    </row>
    <row r="30" spans="1:14">
      <c r="A30" s="4">
        <v>29</v>
      </c>
      <c r="B30" s="9">
        <v>40377</v>
      </c>
      <c r="C30" s="1"/>
      <c r="D30" s="1"/>
      <c r="E30" s="1"/>
      <c r="F30" s="12"/>
      <c r="M30">
        <f t="shared" si="1"/>
        <v>70</v>
      </c>
      <c r="N30">
        <f t="shared" si="1"/>
        <v>80</v>
      </c>
    </row>
    <row r="31" spans="1:14">
      <c r="A31" s="4">
        <v>30</v>
      </c>
      <c r="B31" s="9">
        <v>40378</v>
      </c>
      <c r="C31" s="1"/>
      <c r="D31" s="1"/>
      <c r="E31" s="1"/>
      <c r="F31" s="12"/>
      <c r="M31">
        <f t="shared" si="1"/>
        <v>70</v>
      </c>
      <c r="N31">
        <f t="shared" si="1"/>
        <v>80</v>
      </c>
    </row>
    <row r="32" spans="1:14">
      <c r="A32" s="4">
        <v>31</v>
      </c>
      <c r="B32" s="9">
        <v>40379</v>
      </c>
      <c r="C32" s="1"/>
      <c r="D32" s="1"/>
      <c r="E32" s="1"/>
      <c r="F32" s="12"/>
      <c r="M32">
        <f t="shared" si="1"/>
        <v>70</v>
      </c>
      <c r="N32">
        <f t="shared" si="1"/>
        <v>80</v>
      </c>
    </row>
    <row r="33" spans="1:14">
      <c r="A33" s="4">
        <v>32</v>
      </c>
      <c r="B33" s="9">
        <v>40380</v>
      </c>
      <c r="C33" s="1"/>
      <c r="D33" s="1"/>
      <c r="E33" s="1"/>
      <c r="F33" s="12"/>
      <c r="M33">
        <f t="shared" si="1"/>
        <v>70</v>
      </c>
      <c r="N33">
        <f t="shared" si="1"/>
        <v>80</v>
      </c>
    </row>
    <row r="34" spans="1:14">
      <c r="A34" s="4">
        <v>33</v>
      </c>
      <c r="B34" s="9">
        <v>40381</v>
      </c>
      <c r="C34" s="1"/>
      <c r="D34" s="1"/>
      <c r="E34" s="1"/>
      <c r="F34" s="12"/>
      <c r="M34">
        <f t="shared" si="1"/>
        <v>70</v>
      </c>
      <c r="N34">
        <f t="shared" si="1"/>
        <v>80</v>
      </c>
    </row>
    <row r="35" spans="1:14">
      <c r="A35" s="4">
        <v>34</v>
      </c>
      <c r="B35" s="9">
        <v>40382</v>
      </c>
      <c r="C35" s="1"/>
      <c r="D35" s="1"/>
      <c r="E35" s="1"/>
      <c r="F35" s="12"/>
      <c r="M35">
        <f t="shared" si="1"/>
        <v>70</v>
      </c>
      <c r="N35">
        <f t="shared" si="1"/>
        <v>80</v>
      </c>
    </row>
    <row r="36" spans="1:14">
      <c r="A36" s="4">
        <v>35</v>
      </c>
      <c r="B36" s="9">
        <v>40383</v>
      </c>
      <c r="C36" s="1"/>
      <c r="D36" s="1"/>
      <c r="E36" s="1"/>
      <c r="F36" s="12"/>
      <c r="M36">
        <f t="shared" ref="M36:N51" si="2">M35</f>
        <v>70</v>
      </c>
      <c r="N36">
        <f t="shared" si="2"/>
        <v>80</v>
      </c>
    </row>
    <row r="37" spans="1:14">
      <c r="A37" s="4">
        <v>36</v>
      </c>
      <c r="B37" s="9">
        <v>40384</v>
      </c>
      <c r="C37" s="1"/>
      <c r="D37" s="1"/>
      <c r="E37" s="1"/>
      <c r="F37" s="12"/>
      <c r="M37">
        <f t="shared" si="2"/>
        <v>70</v>
      </c>
      <c r="N37">
        <f t="shared" si="2"/>
        <v>80</v>
      </c>
    </row>
    <row r="38" spans="1:14">
      <c r="A38" s="4">
        <v>37</v>
      </c>
      <c r="B38" s="9">
        <v>40385</v>
      </c>
      <c r="C38" s="1"/>
      <c r="D38" s="1"/>
      <c r="E38" s="1"/>
      <c r="F38" s="12"/>
      <c r="M38">
        <f t="shared" si="2"/>
        <v>70</v>
      </c>
      <c r="N38">
        <f t="shared" si="2"/>
        <v>80</v>
      </c>
    </row>
    <row r="39" spans="1:14">
      <c r="A39" s="4">
        <v>38</v>
      </c>
      <c r="B39" s="9">
        <v>40386</v>
      </c>
      <c r="C39" s="1"/>
      <c r="D39" s="1"/>
      <c r="E39" s="1"/>
      <c r="F39" s="12"/>
      <c r="M39">
        <f t="shared" si="2"/>
        <v>70</v>
      </c>
      <c r="N39">
        <f t="shared" si="2"/>
        <v>80</v>
      </c>
    </row>
    <row r="40" spans="1:14">
      <c r="A40" s="4">
        <v>39</v>
      </c>
      <c r="B40" s="9">
        <v>40387</v>
      </c>
      <c r="C40" s="1"/>
      <c r="D40" s="1"/>
      <c r="E40" s="1"/>
      <c r="F40" s="12"/>
      <c r="M40">
        <f t="shared" si="2"/>
        <v>70</v>
      </c>
      <c r="N40">
        <f t="shared" si="2"/>
        <v>80</v>
      </c>
    </row>
    <row r="41" spans="1:14">
      <c r="A41" s="4">
        <v>40</v>
      </c>
      <c r="B41" s="9">
        <v>40388</v>
      </c>
      <c r="C41" s="1"/>
      <c r="D41" s="1"/>
      <c r="E41" s="1"/>
      <c r="F41" s="12"/>
      <c r="M41">
        <f t="shared" si="2"/>
        <v>70</v>
      </c>
      <c r="N41">
        <f t="shared" si="2"/>
        <v>80</v>
      </c>
    </row>
    <row r="42" spans="1:14">
      <c r="A42" s="4">
        <v>41</v>
      </c>
      <c r="B42" s="9">
        <v>40389</v>
      </c>
      <c r="C42" s="1"/>
      <c r="D42" s="1"/>
      <c r="E42" s="1"/>
      <c r="F42" s="12"/>
      <c r="M42">
        <f t="shared" si="2"/>
        <v>70</v>
      </c>
      <c r="N42">
        <f t="shared" si="2"/>
        <v>80</v>
      </c>
    </row>
    <row r="43" spans="1:14">
      <c r="A43" s="4">
        <v>42</v>
      </c>
      <c r="B43" s="9">
        <v>40390</v>
      </c>
      <c r="C43" s="1"/>
      <c r="D43" s="1"/>
      <c r="E43" s="1"/>
      <c r="F43" s="12"/>
      <c r="M43">
        <f t="shared" si="2"/>
        <v>70</v>
      </c>
      <c r="N43">
        <f t="shared" si="2"/>
        <v>80</v>
      </c>
    </row>
    <row r="44" spans="1:14">
      <c r="A44" s="4">
        <v>43</v>
      </c>
      <c r="B44" s="9">
        <v>40391</v>
      </c>
      <c r="C44" s="1"/>
      <c r="D44" s="1"/>
      <c r="E44" s="1"/>
      <c r="F44" s="12"/>
      <c r="M44">
        <f t="shared" si="2"/>
        <v>70</v>
      </c>
      <c r="N44">
        <f t="shared" si="2"/>
        <v>80</v>
      </c>
    </row>
    <row r="45" spans="1:14">
      <c r="A45" s="4">
        <v>44</v>
      </c>
      <c r="B45" s="9">
        <v>40392</v>
      </c>
      <c r="C45" s="1"/>
      <c r="D45" s="1"/>
      <c r="E45" s="1"/>
      <c r="F45" s="12"/>
      <c r="M45">
        <f t="shared" si="2"/>
        <v>70</v>
      </c>
      <c r="N45">
        <f t="shared" si="2"/>
        <v>80</v>
      </c>
    </row>
    <row r="46" spans="1:14">
      <c r="A46" s="4">
        <v>45</v>
      </c>
      <c r="B46" s="9">
        <v>40393</v>
      </c>
      <c r="C46" s="1"/>
      <c r="D46" s="1"/>
      <c r="E46" s="1"/>
      <c r="F46" s="12"/>
      <c r="M46">
        <f t="shared" si="2"/>
        <v>70</v>
      </c>
      <c r="N46">
        <f t="shared" si="2"/>
        <v>80</v>
      </c>
    </row>
    <row r="47" spans="1:14">
      <c r="A47" s="4">
        <v>46</v>
      </c>
      <c r="B47" s="9">
        <v>40394</v>
      </c>
      <c r="C47" s="1"/>
      <c r="D47" s="1"/>
      <c r="E47" s="1"/>
      <c r="F47" s="12"/>
      <c r="M47">
        <f t="shared" si="2"/>
        <v>70</v>
      </c>
      <c r="N47">
        <f t="shared" si="2"/>
        <v>80</v>
      </c>
    </row>
    <row r="48" spans="1:14">
      <c r="A48" s="4">
        <v>47</v>
      </c>
      <c r="B48" s="9">
        <v>40395</v>
      </c>
      <c r="C48" s="1"/>
      <c r="D48" s="1"/>
      <c r="E48" s="1"/>
      <c r="F48" s="12"/>
      <c r="M48">
        <f t="shared" si="2"/>
        <v>70</v>
      </c>
      <c r="N48">
        <f t="shared" si="2"/>
        <v>80</v>
      </c>
    </row>
    <row r="49" spans="1:14">
      <c r="A49" s="4">
        <v>48</v>
      </c>
      <c r="B49" s="9">
        <v>40396</v>
      </c>
      <c r="C49" s="1"/>
      <c r="D49" s="1"/>
      <c r="E49" s="1"/>
      <c r="F49" s="12"/>
      <c r="M49">
        <f t="shared" si="2"/>
        <v>70</v>
      </c>
      <c r="N49">
        <f t="shared" si="2"/>
        <v>80</v>
      </c>
    </row>
    <row r="50" spans="1:14">
      <c r="A50" s="4">
        <v>49</v>
      </c>
      <c r="B50" s="9">
        <v>40397</v>
      </c>
      <c r="C50" s="1"/>
      <c r="D50" s="1"/>
      <c r="E50" s="1"/>
      <c r="F50" s="12"/>
      <c r="M50">
        <f t="shared" si="2"/>
        <v>70</v>
      </c>
      <c r="N50">
        <f t="shared" si="2"/>
        <v>80</v>
      </c>
    </row>
    <row r="51" spans="1:14">
      <c r="A51" s="4">
        <v>50</v>
      </c>
      <c r="B51" s="9">
        <v>40398</v>
      </c>
      <c r="C51" s="1"/>
      <c r="D51" s="1"/>
      <c r="E51" s="1"/>
      <c r="F51" s="12"/>
      <c r="M51">
        <f t="shared" si="2"/>
        <v>70</v>
      </c>
      <c r="N51">
        <f t="shared" si="2"/>
        <v>80</v>
      </c>
    </row>
    <row r="52" spans="1:14">
      <c r="A52" s="4">
        <v>51</v>
      </c>
      <c r="B52" s="9">
        <v>40399</v>
      </c>
      <c r="C52" s="1"/>
      <c r="D52" s="1"/>
      <c r="E52" s="1"/>
      <c r="F52" s="12"/>
      <c r="M52">
        <f t="shared" ref="M52:N67" si="3">M51</f>
        <v>70</v>
      </c>
      <c r="N52">
        <f t="shared" si="3"/>
        <v>80</v>
      </c>
    </row>
    <row r="53" spans="1:14">
      <c r="A53" s="4">
        <v>52</v>
      </c>
      <c r="B53" s="9">
        <v>40400</v>
      </c>
      <c r="C53" s="1"/>
      <c r="D53" s="1"/>
      <c r="E53" s="1"/>
      <c r="F53" s="12"/>
      <c r="M53">
        <f t="shared" si="3"/>
        <v>70</v>
      </c>
      <c r="N53">
        <f t="shared" si="3"/>
        <v>80</v>
      </c>
    </row>
    <row r="54" spans="1:14">
      <c r="A54" s="4">
        <v>53</v>
      </c>
      <c r="B54" s="9">
        <v>40401</v>
      </c>
      <c r="C54" s="1"/>
      <c r="D54" s="1"/>
      <c r="E54" s="1"/>
      <c r="F54" s="12"/>
      <c r="M54">
        <f t="shared" si="3"/>
        <v>70</v>
      </c>
      <c r="N54">
        <f t="shared" si="3"/>
        <v>80</v>
      </c>
    </row>
    <row r="55" spans="1:14">
      <c r="A55" s="4">
        <v>54</v>
      </c>
      <c r="B55" s="9">
        <v>40402</v>
      </c>
      <c r="C55" s="1"/>
      <c r="D55" s="1"/>
      <c r="E55" s="1"/>
      <c r="F55" s="12"/>
      <c r="M55">
        <f t="shared" si="3"/>
        <v>70</v>
      </c>
      <c r="N55">
        <f t="shared" si="3"/>
        <v>80</v>
      </c>
    </row>
    <row r="56" spans="1:14">
      <c r="A56" s="4">
        <v>55</v>
      </c>
      <c r="B56" s="9">
        <v>40403</v>
      </c>
      <c r="C56" s="1"/>
      <c r="D56" s="1"/>
      <c r="E56" s="1"/>
      <c r="F56" s="12"/>
      <c r="M56">
        <f t="shared" si="3"/>
        <v>70</v>
      </c>
      <c r="N56">
        <f t="shared" si="3"/>
        <v>80</v>
      </c>
    </row>
    <row r="57" spans="1:14">
      <c r="A57" s="4">
        <v>56</v>
      </c>
      <c r="B57" s="9">
        <v>40404</v>
      </c>
      <c r="C57" s="1"/>
      <c r="D57" s="1"/>
      <c r="E57" s="1"/>
      <c r="F57" s="12"/>
      <c r="M57">
        <f t="shared" si="3"/>
        <v>70</v>
      </c>
      <c r="N57">
        <f t="shared" si="3"/>
        <v>80</v>
      </c>
    </row>
    <row r="58" spans="1:14">
      <c r="A58" s="4">
        <v>57</v>
      </c>
      <c r="B58" s="9">
        <v>40405</v>
      </c>
      <c r="C58" s="1"/>
      <c r="D58" s="1"/>
      <c r="E58" s="1"/>
      <c r="F58" s="12"/>
      <c r="M58">
        <f t="shared" si="3"/>
        <v>70</v>
      </c>
      <c r="N58">
        <f t="shared" si="3"/>
        <v>80</v>
      </c>
    </row>
    <row r="59" spans="1:14">
      <c r="A59" s="4">
        <v>58</v>
      </c>
      <c r="B59" s="9">
        <v>40406</v>
      </c>
      <c r="C59" s="1"/>
      <c r="D59" s="1"/>
      <c r="E59" s="1"/>
      <c r="F59" s="12"/>
      <c r="M59">
        <f t="shared" si="3"/>
        <v>70</v>
      </c>
      <c r="N59">
        <f t="shared" si="3"/>
        <v>80</v>
      </c>
    </row>
    <row r="60" spans="1:14">
      <c r="A60" s="4">
        <v>59</v>
      </c>
      <c r="B60" s="9">
        <v>40407</v>
      </c>
      <c r="C60" s="1"/>
      <c r="D60" s="1"/>
      <c r="E60" s="1"/>
      <c r="F60" s="12"/>
      <c r="M60">
        <f t="shared" si="3"/>
        <v>70</v>
      </c>
      <c r="N60">
        <f t="shared" si="3"/>
        <v>80</v>
      </c>
    </row>
    <row r="61" spans="1:14">
      <c r="A61" s="4">
        <v>60</v>
      </c>
      <c r="B61" s="9">
        <v>40408</v>
      </c>
      <c r="C61" s="1"/>
      <c r="D61" s="1"/>
      <c r="E61" s="1"/>
      <c r="F61" s="12"/>
      <c r="M61">
        <f t="shared" si="3"/>
        <v>70</v>
      </c>
      <c r="N61">
        <f t="shared" si="3"/>
        <v>80</v>
      </c>
    </row>
    <row r="62" spans="1:14">
      <c r="A62" s="4">
        <v>61</v>
      </c>
      <c r="B62" s="9">
        <v>40409</v>
      </c>
      <c r="C62" s="1">
        <v>802.42857142857099</v>
      </c>
      <c r="D62" s="1">
        <v>5.0085714544568702</v>
      </c>
      <c r="E62" s="1">
        <v>10972144.2857143</v>
      </c>
      <c r="F62" s="12">
        <v>65.418570927211206</v>
      </c>
      <c r="M62">
        <f t="shared" si="3"/>
        <v>70</v>
      </c>
      <c r="N62">
        <f t="shared" si="3"/>
        <v>80</v>
      </c>
    </row>
    <row r="63" spans="1:14">
      <c r="A63" s="4">
        <v>62</v>
      </c>
      <c r="B63" s="9">
        <v>40410</v>
      </c>
      <c r="C63" s="1">
        <v>1817.38461538462</v>
      </c>
      <c r="D63" s="1">
        <v>11.350000143051099</v>
      </c>
      <c r="E63" s="1">
        <v>11836070.2307692</v>
      </c>
      <c r="F63" s="12">
        <v>70.571539071890001</v>
      </c>
      <c r="M63">
        <f t="shared" si="3"/>
        <v>70</v>
      </c>
      <c r="N63">
        <f t="shared" si="3"/>
        <v>80</v>
      </c>
    </row>
    <row r="64" spans="1:14">
      <c r="A64" s="4">
        <v>63</v>
      </c>
      <c r="B64" s="9">
        <v>40411</v>
      </c>
      <c r="C64" s="1">
        <v>943.30769230769204</v>
      </c>
      <c r="D64" s="1">
        <v>5.8884615898132298</v>
      </c>
      <c r="E64" s="1">
        <v>11168343</v>
      </c>
      <c r="F64" s="12">
        <v>66.589229877178497</v>
      </c>
      <c r="M64">
        <f t="shared" si="3"/>
        <v>70</v>
      </c>
      <c r="N64">
        <f t="shared" si="3"/>
        <v>80</v>
      </c>
    </row>
    <row r="65" spans="1:14">
      <c r="A65" s="4">
        <v>64</v>
      </c>
      <c r="B65" s="9">
        <v>40412</v>
      </c>
      <c r="C65" s="1">
        <v>527.38461538461502</v>
      </c>
      <c r="D65" s="1">
        <v>3.2892307684971702</v>
      </c>
      <c r="E65" s="1">
        <v>11440997.538461501</v>
      </c>
      <c r="F65" s="12">
        <v>68.216923640324495</v>
      </c>
      <c r="M65">
        <f t="shared" si="3"/>
        <v>70</v>
      </c>
      <c r="N65">
        <f t="shared" si="3"/>
        <v>80</v>
      </c>
    </row>
    <row r="66" spans="1:14">
      <c r="A66" s="4">
        <v>65</v>
      </c>
      <c r="B66" s="9">
        <v>40413</v>
      </c>
      <c r="C66" s="1">
        <v>680.23076923076906</v>
      </c>
      <c r="D66" s="1">
        <v>4.2446153347308799</v>
      </c>
      <c r="E66" s="1">
        <v>12501918.7692308</v>
      </c>
      <c r="F66" s="12">
        <v>74.546154315655002</v>
      </c>
      <c r="M66">
        <f t="shared" si="3"/>
        <v>70</v>
      </c>
      <c r="N66">
        <f t="shared" si="3"/>
        <v>80</v>
      </c>
    </row>
    <row r="67" spans="1:14">
      <c r="A67" s="4">
        <v>66</v>
      </c>
      <c r="B67" s="9">
        <v>40414</v>
      </c>
      <c r="C67" s="1">
        <v>768.15384615384596</v>
      </c>
      <c r="D67" s="1">
        <v>4.7938460936913101</v>
      </c>
      <c r="E67" s="1">
        <v>13276116.307692301</v>
      </c>
      <c r="F67" s="12">
        <v>79.161538931039701</v>
      </c>
      <c r="M67">
        <f t="shared" si="3"/>
        <v>70</v>
      </c>
      <c r="N67">
        <f t="shared" si="3"/>
        <v>80</v>
      </c>
    </row>
    <row r="68" spans="1:14">
      <c r="A68" s="4">
        <v>67</v>
      </c>
      <c r="B68" s="9">
        <v>40415</v>
      </c>
      <c r="C68" s="1">
        <v>1246.3076923076901</v>
      </c>
      <c r="D68" s="1">
        <v>7.7823076981764601</v>
      </c>
      <c r="E68" s="1">
        <v>13747767.153846201</v>
      </c>
      <c r="F68" s="12">
        <v>81.972307645357603</v>
      </c>
      <c r="M68">
        <f t="shared" ref="M68:N83" si="4">M67</f>
        <v>70</v>
      </c>
      <c r="N68">
        <f t="shared" si="4"/>
        <v>80</v>
      </c>
    </row>
    <row r="69" spans="1:14">
      <c r="A69" s="4">
        <v>68</v>
      </c>
      <c r="B69" s="9">
        <v>40416</v>
      </c>
      <c r="C69" s="1">
        <v>997.23076923076906</v>
      </c>
      <c r="D69" s="1">
        <v>6.2261538872352</v>
      </c>
      <c r="E69" s="1">
        <v>14256568.461538499</v>
      </c>
      <c r="F69" s="12">
        <v>85.010001549354001</v>
      </c>
      <c r="M69">
        <f t="shared" si="4"/>
        <v>70</v>
      </c>
      <c r="N69">
        <f t="shared" si="4"/>
        <v>80</v>
      </c>
    </row>
    <row r="70" spans="1:14">
      <c r="A70" s="4">
        <v>69</v>
      </c>
      <c r="B70" s="9">
        <v>40417</v>
      </c>
      <c r="C70" s="1">
        <v>987.69230769230796</v>
      </c>
      <c r="D70" s="1">
        <v>6.1661538710960997</v>
      </c>
      <c r="E70" s="1">
        <v>14257571</v>
      </c>
      <c r="F70" s="12">
        <v>85.014616159292402</v>
      </c>
      <c r="M70">
        <f t="shared" si="4"/>
        <v>70</v>
      </c>
      <c r="N70">
        <f t="shared" si="4"/>
        <v>80</v>
      </c>
    </row>
    <row r="71" spans="1:14">
      <c r="A71" s="4">
        <v>70</v>
      </c>
      <c r="B71" s="9">
        <v>40418</v>
      </c>
      <c r="C71" s="1">
        <v>975.61538461538498</v>
      </c>
      <c r="D71" s="1">
        <v>6.0899999691889803</v>
      </c>
      <c r="E71" s="1">
        <v>14304930.846153799</v>
      </c>
      <c r="F71" s="12">
        <v>85.296923123873199</v>
      </c>
      <c r="M71">
        <f t="shared" si="4"/>
        <v>70</v>
      </c>
      <c r="N71">
        <f t="shared" si="4"/>
        <v>80</v>
      </c>
    </row>
    <row r="72" spans="1:14">
      <c r="A72" s="4">
        <v>71</v>
      </c>
      <c r="B72" s="9">
        <v>40419</v>
      </c>
      <c r="C72" s="1">
        <v>964.07692307692298</v>
      </c>
      <c r="D72" s="1">
        <v>6.0192307325509899</v>
      </c>
      <c r="E72" s="1">
        <v>14326628.615384599</v>
      </c>
      <c r="F72" s="12">
        <v>85.426923311673704</v>
      </c>
      <c r="M72">
        <f t="shared" si="4"/>
        <v>70</v>
      </c>
      <c r="N72">
        <f t="shared" si="4"/>
        <v>80</v>
      </c>
    </row>
    <row r="73" spans="1:14">
      <c r="A73" s="4">
        <v>72</v>
      </c>
      <c r="B73" s="9">
        <v>40420</v>
      </c>
      <c r="C73" s="1">
        <v>1100.8461538461499</v>
      </c>
      <c r="D73" s="1">
        <v>6.8730768790611902</v>
      </c>
      <c r="E73" s="1">
        <v>14448230.9230769</v>
      </c>
      <c r="F73" s="12">
        <v>86.153846153846203</v>
      </c>
      <c r="M73">
        <f t="shared" si="4"/>
        <v>70</v>
      </c>
      <c r="N73">
        <f t="shared" si="4"/>
        <v>80</v>
      </c>
    </row>
    <row r="74" spans="1:14">
      <c r="A74" s="4">
        <v>73</v>
      </c>
      <c r="B74" s="9">
        <v>40421</v>
      </c>
      <c r="C74" s="1">
        <v>1462.6923076923099</v>
      </c>
      <c r="D74" s="1">
        <v>9.1353845963111304</v>
      </c>
      <c r="E74" s="1">
        <v>14413364.307692301</v>
      </c>
      <c r="F74" s="12">
        <v>85.943076500525805</v>
      </c>
      <c r="M74">
        <f t="shared" si="4"/>
        <v>70</v>
      </c>
      <c r="N74">
        <f t="shared" si="4"/>
        <v>80</v>
      </c>
    </row>
    <row r="75" spans="1:14">
      <c r="A75" s="4">
        <v>74</v>
      </c>
      <c r="B75" s="9">
        <v>40422</v>
      </c>
      <c r="C75" s="1">
        <v>1331</v>
      </c>
      <c r="D75" s="1">
        <v>8.3115384762103695</v>
      </c>
      <c r="E75" s="1">
        <v>14227782.307692301</v>
      </c>
      <c r="F75" s="12">
        <v>84.836152883676405</v>
      </c>
      <c r="M75">
        <f t="shared" si="4"/>
        <v>70</v>
      </c>
      <c r="N75">
        <f t="shared" si="4"/>
        <v>80</v>
      </c>
    </row>
    <row r="76" spans="1:14">
      <c r="A76" s="4">
        <v>75</v>
      </c>
      <c r="B76" s="9">
        <v>40423</v>
      </c>
      <c r="C76" s="1">
        <v>2333.0769230769201</v>
      </c>
      <c r="D76" s="1">
        <v>14.5738459733816</v>
      </c>
      <c r="E76" s="1">
        <v>12822303.7692308</v>
      </c>
      <c r="F76" s="12">
        <v>76.453845684344998</v>
      </c>
      <c r="M76">
        <f t="shared" si="4"/>
        <v>70</v>
      </c>
      <c r="N76">
        <f t="shared" si="4"/>
        <v>80</v>
      </c>
    </row>
    <row r="77" spans="1:14">
      <c r="A77" s="4">
        <v>76</v>
      </c>
      <c r="B77" s="9">
        <v>40424</v>
      </c>
      <c r="C77" s="1">
        <v>2969.8461538461502</v>
      </c>
      <c r="D77" s="1">
        <v>18.554615314190201</v>
      </c>
      <c r="E77" s="1">
        <v>12690761.846153799</v>
      </c>
      <c r="F77" s="12">
        <v>75.668461139385499</v>
      </c>
      <c r="M77">
        <f t="shared" si="4"/>
        <v>70</v>
      </c>
      <c r="N77">
        <f t="shared" si="4"/>
        <v>80</v>
      </c>
    </row>
    <row r="78" spans="1:14">
      <c r="A78" s="4">
        <v>77</v>
      </c>
      <c r="B78" s="9">
        <v>40425</v>
      </c>
      <c r="C78" s="1">
        <v>2861.23076923077</v>
      </c>
      <c r="D78" s="1">
        <v>17.878461691049399</v>
      </c>
      <c r="E78" s="1">
        <v>13321877.153846201</v>
      </c>
      <c r="F78" s="12">
        <v>79.434615501990706</v>
      </c>
      <c r="M78">
        <f t="shared" si="4"/>
        <v>70</v>
      </c>
      <c r="N78">
        <f t="shared" si="4"/>
        <v>80</v>
      </c>
    </row>
    <row r="79" spans="1:14">
      <c r="A79" s="4">
        <v>78</v>
      </c>
      <c r="B79" s="9">
        <v>40426</v>
      </c>
      <c r="C79" s="1">
        <v>2791</v>
      </c>
      <c r="D79" s="1">
        <v>17.4376922020545</v>
      </c>
      <c r="E79" s="1">
        <v>11929963.0769231</v>
      </c>
      <c r="F79" s="12">
        <v>71.133077181302596</v>
      </c>
      <c r="M79">
        <f t="shared" si="4"/>
        <v>70</v>
      </c>
      <c r="N79">
        <f t="shared" si="4"/>
        <v>80</v>
      </c>
    </row>
    <row r="80" spans="1:14">
      <c r="A80" s="4">
        <v>79</v>
      </c>
      <c r="B80" s="9">
        <v>40427</v>
      </c>
      <c r="C80" s="1">
        <v>2875.3846153846198</v>
      </c>
      <c r="D80" s="1">
        <v>17.966153658353399</v>
      </c>
      <c r="E80" s="1">
        <v>12082646.7692308</v>
      </c>
      <c r="F80" s="12">
        <v>72.046154315655002</v>
      </c>
      <c r="M80">
        <f t="shared" si="4"/>
        <v>70</v>
      </c>
      <c r="N80">
        <f t="shared" si="4"/>
        <v>80</v>
      </c>
    </row>
    <row r="81" spans="1:14">
      <c r="A81" s="4">
        <v>80</v>
      </c>
      <c r="B81" s="9">
        <v>40428</v>
      </c>
      <c r="C81" s="1">
        <v>2491.3076923076901</v>
      </c>
      <c r="D81" s="1">
        <v>15.5646154697125</v>
      </c>
      <c r="E81" s="1">
        <v>13110369.384615401</v>
      </c>
      <c r="F81" s="12">
        <v>78.173846318171599</v>
      </c>
      <c r="M81">
        <f t="shared" si="4"/>
        <v>70</v>
      </c>
      <c r="N81">
        <f t="shared" si="4"/>
        <v>80</v>
      </c>
    </row>
    <row r="82" spans="1:14">
      <c r="A82" s="4">
        <v>81</v>
      </c>
      <c r="B82" s="9">
        <v>40429</v>
      </c>
      <c r="C82" s="1">
        <v>1302.95</v>
      </c>
      <c r="D82" s="1">
        <v>8.1385000944137609</v>
      </c>
      <c r="E82" s="1">
        <v>14033230.449999999</v>
      </c>
      <c r="F82" s="12">
        <v>83.677499771118207</v>
      </c>
      <c r="M82">
        <f t="shared" si="4"/>
        <v>70</v>
      </c>
      <c r="N82">
        <f t="shared" si="4"/>
        <v>80</v>
      </c>
    </row>
    <row r="83" spans="1:14">
      <c r="A83" s="4">
        <v>82</v>
      </c>
      <c r="B83" s="9">
        <v>40430</v>
      </c>
      <c r="C83" s="1">
        <v>1379.7916666666699</v>
      </c>
      <c r="D83" s="1">
        <v>8.6187499860922507</v>
      </c>
      <c r="E83" s="1">
        <v>12948524.5833333</v>
      </c>
      <c r="F83" s="12">
        <v>77.210000038147001</v>
      </c>
      <c r="M83">
        <f t="shared" si="4"/>
        <v>70</v>
      </c>
      <c r="N83">
        <f t="shared" si="4"/>
        <v>80</v>
      </c>
    </row>
    <row r="84" spans="1:14">
      <c r="A84" s="4">
        <v>83</v>
      </c>
      <c r="B84" s="9">
        <v>40431</v>
      </c>
      <c r="C84" s="1">
        <v>1571.125</v>
      </c>
      <c r="D84" s="1">
        <v>9.8140000104904193</v>
      </c>
      <c r="E84" s="1">
        <v>12745232.375</v>
      </c>
      <c r="F84" s="12">
        <v>75.997499847412101</v>
      </c>
      <c r="M84">
        <f t="shared" ref="M84:N93" si="5">M83</f>
        <v>70</v>
      </c>
      <c r="N84">
        <f t="shared" si="5"/>
        <v>80</v>
      </c>
    </row>
    <row r="85" spans="1:14">
      <c r="A85" s="4">
        <v>84</v>
      </c>
      <c r="B85" s="9">
        <v>40432</v>
      </c>
      <c r="C85" s="1"/>
      <c r="D85" s="1"/>
      <c r="E85" s="1"/>
      <c r="F85" s="12"/>
      <c r="M85">
        <f t="shared" si="5"/>
        <v>70</v>
      </c>
      <c r="N85">
        <f t="shared" si="5"/>
        <v>80</v>
      </c>
    </row>
    <row r="86" spans="1:14">
      <c r="A86" s="4">
        <v>85</v>
      </c>
      <c r="B86" s="9">
        <v>40433</v>
      </c>
      <c r="C86" s="1"/>
      <c r="D86" s="1"/>
      <c r="E86" s="1"/>
      <c r="F86" s="12"/>
      <c r="M86">
        <f t="shared" si="5"/>
        <v>70</v>
      </c>
      <c r="N86">
        <f t="shared" si="5"/>
        <v>80</v>
      </c>
    </row>
    <row r="87" spans="1:14">
      <c r="A87" s="4">
        <v>86</v>
      </c>
      <c r="B87" s="9">
        <v>40434</v>
      </c>
      <c r="C87" s="1">
        <v>1131.96</v>
      </c>
      <c r="D87" s="1">
        <v>7.0699999570846597</v>
      </c>
      <c r="E87" s="1">
        <v>10825701.4</v>
      </c>
      <c r="F87" s="12">
        <v>64.551600036621096</v>
      </c>
      <c r="M87">
        <f t="shared" si="5"/>
        <v>70</v>
      </c>
      <c r="N87">
        <f t="shared" si="5"/>
        <v>80</v>
      </c>
    </row>
    <row r="88" spans="1:14">
      <c r="A88" s="4">
        <v>87</v>
      </c>
      <c r="B88" s="9">
        <v>40435</v>
      </c>
      <c r="C88" s="1">
        <v>1853.3125</v>
      </c>
      <c r="D88" s="1">
        <v>11.5772916947802</v>
      </c>
      <c r="E88" s="1">
        <v>11720923.8333333</v>
      </c>
      <c r="F88" s="12">
        <v>69.8902083237966</v>
      </c>
      <c r="M88">
        <f t="shared" si="5"/>
        <v>70</v>
      </c>
      <c r="N88">
        <f t="shared" si="5"/>
        <v>80</v>
      </c>
    </row>
    <row r="89" spans="1:14">
      <c r="A89" s="4">
        <v>88</v>
      </c>
      <c r="B89" s="9">
        <v>40436</v>
      </c>
      <c r="C89" s="1">
        <v>1852.8958333333301</v>
      </c>
      <c r="D89" s="1">
        <v>11.5752082665761</v>
      </c>
      <c r="E89" s="1">
        <v>11966710.7708333</v>
      </c>
      <c r="F89" s="12">
        <v>71.355416774749798</v>
      </c>
      <c r="M89">
        <f t="shared" si="5"/>
        <v>70</v>
      </c>
      <c r="N89">
        <f t="shared" si="5"/>
        <v>80</v>
      </c>
    </row>
    <row r="90" spans="1:14">
      <c r="A90" s="4">
        <v>89</v>
      </c>
      <c r="B90" s="9">
        <v>40437</v>
      </c>
      <c r="C90" s="1">
        <v>1054.0625</v>
      </c>
      <c r="D90" s="1">
        <v>6.5822916775941804</v>
      </c>
      <c r="E90" s="1">
        <v>11870358.3125</v>
      </c>
      <c r="F90" s="12">
        <v>70.782083511352496</v>
      </c>
      <c r="M90">
        <f t="shared" si="5"/>
        <v>70</v>
      </c>
      <c r="N90">
        <f t="shared" si="5"/>
        <v>80</v>
      </c>
    </row>
    <row r="91" spans="1:14">
      <c r="A91" s="4">
        <v>90</v>
      </c>
      <c r="B91" s="9">
        <v>40438</v>
      </c>
      <c r="C91" s="1">
        <v>911.35416666666697</v>
      </c>
      <c r="D91" s="1">
        <v>5.6910416334867504</v>
      </c>
      <c r="E91" s="1">
        <v>11719269.7916667</v>
      </c>
      <c r="F91" s="12">
        <v>69.880833546320602</v>
      </c>
      <c r="M91">
        <f t="shared" si="5"/>
        <v>70</v>
      </c>
      <c r="N91">
        <f t="shared" si="5"/>
        <v>80</v>
      </c>
    </row>
    <row r="92" spans="1:14">
      <c r="A92" s="4">
        <v>91</v>
      </c>
      <c r="B92" s="9">
        <v>40439</v>
      </c>
      <c r="C92" s="1">
        <v>1677.7291666666699</v>
      </c>
      <c r="D92" s="1">
        <v>10.4806250482798</v>
      </c>
      <c r="E92" s="1">
        <v>10842299.5208333</v>
      </c>
      <c r="F92" s="12">
        <v>64.649791797002194</v>
      </c>
      <c r="M92">
        <f t="shared" si="5"/>
        <v>70</v>
      </c>
      <c r="N92">
        <f t="shared" si="5"/>
        <v>80</v>
      </c>
    </row>
    <row r="93" spans="1:14">
      <c r="A93" s="4">
        <v>92</v>
      </c>
      <c r="B93" s="9">
        <v>40440</v>
      </c>
      <c r="C93" s="1">
        <v>1639.4</v>
      </c>
      <c r="D93" s="1">
        <v>10.244000101089499</v>
      </c>
      <c r="E93" s="1">
        <v>10277077.4</v>
      </c>
      <c r="F93" s="12">
        <v>61.277999877929702</v>
      </c>
      <c r="M93">
        <f t="shared" si="5"/>
        <v>70</v>
      </c>
      <c r="N93">
        <f t="shared" si="5"/>
        <v>80</v>
      </c>
    </row>
    <row r="101" spans="2:13">
      <c r="B101" t="s">
        <v>4</v>
      </c>
      <c r="C101" t="s">
        <v>12</v>
      </c>
      <c r="D101" t="s">
        <v>13</v>
      </c>
      <c r="E101" t="s">
        <v>14</v>
      </c>
      <c r="F101" s="3" t="s">
        <v>15</v>
      </c>
      <c r="G101" t="s">
        <v>16</v>
      </c>
      <c r="H101" t="s">
        <v>17</v>
      </c>
      <c r="I101" t="s">
        <v>18</v>
      </c>
      <c r="J101" t="s">
        <v>19</v>
      </c>
      <c r="M101" t="s">
        <v>13</v>
      </c>
    </row>
    <row r="102" spans="2:13">
      <c r="B102" s="15">
        <v>40349</v>
      </c>
      <c r="C102" s="7"/>
      <c r="D102" s="7"/>
      <c r="E102" s="7"/>
      <c r="F102" s="16"/>
      <c r="G102" s="7"/>
      <c r="H102" s="7"/>
      <c r="I102" s="7"/>
      <c r="J102" s="7"/>
      <c r="L102" s="19"/>
      <c r="M102" s="8">
        <f>D102-E102</f>
        <v>0</v>
      </c>
    </row>
    <row r="103" spans="2:13">
      <c r="B103" s="15">
        <v>40350</v>
      </c>
      <c r="C103" s="7"/>
      <c r="D103" s="7"/>
      <c r="E103" s="7"/>
      <c r="F103" s="16"/>
      <c r="G103" s="7"/>
      <c r="H103" s="7"/>
      <c r="I103" s="7"/>
      <c r="J103" s="7"/>
      <c r="L103" s="19"/>
      <c r="M103" s="8">
        <f t="shared" ref="M103:M166" si="6">D103-E103</f>
        <v>0</v>
      </c>
    </row>
    <row r="104" spans="2:13">
      <c r="B104" s="15">
        <v>40351</v>
      </c>
      <c r="C104" s="7"/>
      <c r="D104" s="7"/>
      <c r="E104" s="7"/>
      <c r="F104" s="16"/>
      <c r="G104" s="7"/>
      <c r="H104" s="7"/>
      <c r="I104" s="7"/>
      <c r="J104" s="7"/>
      <c r="L104" s="19"/>
      <c r="M104" s="8">
        <f t="shared" si="6"/>
        <v>0</v>
      </c>
    </row>
    <row r="105" spans="2:13">
      <c r="B105" s="15">
        <v>40352</v>
      </c>
      <c r="C105" s="7"/>
      <c r="D105" s="7"/>
      <c r="E105" s="7"/>
      <c r="F105" s="16"/>
      <c r="G105" s="7"/>
      <c r="H105" s="7"/>
      <c r="I105" s="7"/>
      <c r="J105" s="7"/>
      <c r="L105" s="19"/>
      <c r="M105" s="8">
        <f t="shared" si="6"/>
        <v>0</v>
      </c>
    </row>
    <row r="106" spans="2:13">
      <c r="B106" s="15">
        <v>40353</v>
      </c>
      <c r="C106" s="7"/>
      <c r="D106" s="7"/>
      <c r="E106" s="7"/>
      <c r="F106" s="16"/>
      <c r="G106" s="7"/>
      <c r="H106" s="7"/>
      <c r="I106" s="7"/>
      <c r="J106" s="7"/>
      <c r="L106" s="19"/>
      <c r="M106" s="8">
        <f t="shared" si="6"/>
        <v>0</v>
      </c>
    </row>
    <row r="107" spans="2:13">
      <c r="B107" s="15">
        <v>40354</v>
      </c>
      <c r="C107" s="7"/>
      <c r="D107" s="7"/>
      <c r="E107" s="7"/>
      <c r="F107" s="16"/>
      <c r="G107" s="7"/>
      <c r="H107" s="7"/>
      <c r="I107" s="7"/>
      <c r="J107" s="7"/>
      <c r="L107" s="19"/>
      <c r="M107" s="8">
        <f t="shared" si="6"/>
        <v>0</v>
      </c>
    </row>
    <row r="108" spans="2:13">
      <c r="B108" s="15">
        <v>40355</v>
      </c>
      <c r="C108" s="7"/>
      <c r="D108" s="7"/>
      <c r="E108" s="7"/>
      <c r="F108" s="16"/>
      <c r="G108" s="7"/>
      <c r="H108" s="7"/>
      <c r="I108" s="7"/>
      <c r="J108" s="7"/>
      <c r="L108" s="19"/>
      <c r="M108" s="8">
        <f t="shared" si="6"/>
        <v>0</v>
      </c>
    </row>
    <row r="109" spans="2:13">
      <c r="B109" s="15">
        <v>40356</v>
      </c>
      <c r="C109" s="7"/>
      <c r="D109" s="7"/>
      <c r="E109" s="7"/>
      <c r="F109" s="16"/>
      <c r="G109" s="7"/>
      <c r="H109" s="7"/>
      <c r="I109" s="7"/>
      <c r="J109" s="7"/>
      <c r="L109" s="19"/>
      <c r="M109" s="8">
        <f t="shared" si="6"/>
        <v>0</v>
      </c>
    </row>
    <row r="110" spans="2:13">
      <c r="B110" s="15">
        <v>40357</v>
      </c>
      <c r="C110" s="7"/>
      <c r="D110" s="7"/>
      <c r="E110" s="7"/>
      <c r="F110" s="16"/>
      <c r="G110" s="7"/>
      <c r="H110" s="7"/>
      <c r="I110" s="7"/>
      <c r="J110" s="7"/>
      <c r="L110" s="19"/>
      <c r="M110" s="8">
        <f t="shared" si="6"/>
        <v>0</v>
      </c>
    </row>
    <row r="111" spans="2:13">
      <c r="B111" s="15">
        <v>40358</v>
      </c>
      <c r="C111" s="7"/>
      <c r="D111" s="7"/>
      <c r="E111" s="7"/>
      <c r="F111" s="16"/>
      <c r="G111" s="7"/>
      <c r="H111" s="7"/>
      <c r="I111" s="7"/>
      <c r="J111" s="7"/>
      <c r="L111" s="19"/>
      <c r="M111" s="8">
        <f t="shared" si="6"/>
        <v>0</v>
      </c>
    </row>
    <row r="112" spans="2:13">
      <c r="B112" s="15">
        <v>40359</v>
      </c>
      <c r="C112" s="7"/>
      <c r="D112" s="7"/>
      <c r="E112" s="7"/>
      <c r="F112" s="16"/>
      <c r="G112" s="7"/>
      <c r="H112" s="7"/>
      <c r="I112" s="7"/>
      <c r="J112" s="7"/>
      <c r="L112" s="19"/>
      <c r="M112" s="8">
        <f t="shared" si="6"/>
        <v>0</v>
      </c>
    </row>
    <row r="113" spans="2:13">
      <c r="B113" s="15">
        <v>40360</v>
      </c>
      <c r="C113" s="7"/>
      <c r="D113" s="7"/>
      <c r="E113" s="7"/>
      <c r="F113" s="16"/>
      <c r="G113" s="7"/>
      <c r="H113" s="7"/>
      <c r="I113" s="7"/>
      <c r="J113" s="7"/>
      <c r="L113" s="19"/>
      <c r="M113" s="8">
        <f t="shared" si="6"/>
        <v>0</v>
      </c>
    </row>
    <row r="114" spans="2:13">
      <c r="B114" s="15">
        <v>40361</v>
      </c>
      <c r="C114" s="7"/>
      <c r="D114" s="7"/>
      <c r="E114" s="7"/>
      <c r="F114" s="16"/>
      <c r="G114" s="7"/>
      <c r="H114" s="7"/>
      <c r="I114" s="7"/>
      <c r="J114" s="7"/>
      <c r="L114" s="19"/>
      <c r="M114" s="8">
        <f t="shared" si="6"/>
        <v>0</v>
      </c>
    </row>
    <row r="115" spans="2:13">
      <c r="B115" s="15">
        <v>40362</v>
      </c>
      <c r="C115" s="7"/>
      <c r="D115" s="7"/>
      <c r="E115" s="7"/>
      <c r="F115" s="16"/>
      <c r="G115" s="7"/>
      <c r="H115" s="7"/>
      <c r="I115" s="7"/>
      <c r="J115" s="7"/>
      <c r="L115" s="19"/>
      <c r="M115" s="8">
        <f t="shared" si="6"/>
        <v>0</v>
      </c>
    </row>
    <row r="116" spans="2:13">
      <c r="B116" s="15">
        <v>40363</v>
      </c>
      <c r="C116" s="7"/>
      <c r="D116" s="7"/>
      <c r="E116" s="7"/>
      <c r="F116" s="16"/>
      <c r="G116" s="7"/>
      <c r="H116" s="7"/>
      <c r="I116" s="7"/>
      <c r="J116" s="7"/>
      <c r="L116" s="19"/>
      <c r="M116" s="8">
        <f t="shared" si="6"/>
        <v>0</v>
      </c>
    </row>
    <row r="117" spans="2:13">
      <c r="B117" s="15">
        <v>40364</v>
      </c>
      <c r="C117" s="7"/>
      <c r="D117" s="7"/>
      <c r="E117" s="7"/>
      <c r="F117" s="16"/>
      <c r="G117" s="7"/>
      <c r="H117" s="7"/>
      <c r="I117" s="7"/>
      <c r="J117" s="7"/>
      <c r="L117" s="19"/>
      <c r="M117" s="8">
        <f t="shared" si="6"/>
        <v>0</v>
      </c>
    </row>
    <row r="118" spans="2:13">
      <c r="B118" s="15">
        <v>40365</v>
      </c>
      <c r="C118" s="7"/>
      <c r="D118" s="7"/>
      <c r="E118" s="7"/>
      <c r="F118" s="16"/>
      <c r="G118" s="7"/>
      <c r="H118" s="7"/>
      <c r="I118" s="7"/>
      <c r="J118" s="7"/>
      <c r="L118" s="19"/>
      <c r="M118" s="8">
        <f t="shared" si="6"/>
        <v>0</v>
      </c>
    </row>
    <row r="119" spans="2:13">
      <c r="B119" s="15">
        <v>40366</v>
      </c>
      <c r="C119" s="7"/>
      <c r="D119" s="7"/>
      <c r="E119" s="7"/>
      <c r="F119" s="16"/>
      <c r="G119" s="7"/>
      <c r="H119" s="7"/>
      <c r="I119" s="7"/>
      <c r="J119" s="7"/>
      <c r="L119" s="19"/>
      <c r="M119" s="8">
        <f t="shared" si="6"/>
        <v>0</v>
      </c>
    </row>
    <row r="120" spans="2:13">
      <c r="B120" s="15">
        <v>40367</v>
      </c>
      <c r="C120" s="7"/>
      <c r="D120" s="7"/>
      <c r="E120" s="7"/>
      <c r="F120" s="16"/>
      <c r="G120" s="7"/>
      <c r="H120" s="7"/>
      <c r="I120" s="7"/>
      <c r="J120" s="7"/>
      <c r="L120" s="19"/>
      <c r="M120" s="8">
        <f t="shared" si="6"/>
        <v>0</v>
      </c>
    </row>
    <row r="121" spans="2:13">
      <c r="B121" s="15">
        <v>40368</v>
      </c>
      <c r="C121" s="7"/>
      <c r="D121" s="7"/>
      <c r="E121" s="7"/>
      <c r="F121" s="16"/>
      <c r="G121" s="7"/>
      <c r="H121" s="7"/>
      <c r="I121" s="7"/>
      <c r="J121" s="7"/>
      <c r="L121" s="19"/>
      <c r="M121" s="8">
        <f t="shared" si="6"/>
        <v>0</v>
      </c>
    </row>
    <row r="122" spans="2:13">
      <c r="B122" s="15">
        <v>40369</v>
      </c>
      <c r="C122" s="7"/>
      <c r="D122" s="7"/>
      <c r="E122" s="7"/>
      <c r="F122" s="16"/>
      <c r="G122" s="7"/>
      <c r="H122" s="7"/>
      <c r="I122" s="7"/>
      <c r="J122" s="7"/>
      <c r="L122" s="19"/>
      <c r="M122" s="8">
        <f t="shared" si="6"/>
        <v>0</v>
      </c>
    </row>
    <row r="123" spans="2:13">
      <c r="B123" s="15">
        <v>40370</v>
      </c>
      <c r="C123" s="7"/>
      <c r="D123" s="7"/>
      <c r="E123" s="7"/>
      <c r="F123" s="16"/>
      <c r="G123" s="7"/>
      <c r="H123" s="7"/>
      <c r="I123" s="7"/>
      <c r="J123" s="7"/>
      <c r="L123" s="19"/>
      <c r="M123" s="8">
        <f t="shared" si="6"/>
        <v>0</v>
      </c>
    </row>
    <row r="124" spans="2:13">
      <c r="B124" s="15">
        <v>40371</v>
      </c>
      <c r="C124" s="7"/>
      <c r="D124" s="7"/>
      <c r="E124" s="7"/>
      <c r="F124" s="16"/>
      <c r="G124" s="7"/>
      <c r="H124" s="7"/>
      <c r="I124" s="7"/>
      <c r="J124" s="7"/>
      <c r="L124" s="19"/>
      <c r="M124" s="8">
        <f t="shared" si="6"/>
        <v>0</v>
      </c>
    </row>
    <row r="125" spans="2:13">
      <c r="B125" s="15">
        <v>40372</v>
      </c>
      <c r="C125" s="7"/>
      <c r="D125" s="7"/>
      <c r="E125" s="7"/>
      <c r="F125" s="16"/>
      <c r="G125" s="7"/>
      <c r="H125" s="7"/>
      <c r="I125" s="7"/>
      <c r="J125" s="7"/>
      <c r="L125" s="19"/>
      <c r="M125" s="8">
        <f t="shared" si="6"/>
        <v>0</v>
      </c>
    </row>
    <row r="126" spans="2:13">
      <c r="B126" s="15">
        <v>40373</v>
      </c>
      <c r="C126" s="7"/>
      <c r="D126" s="7"/>
      <c r="E126" s="7"/>
      <c r="F126" s="16"/>
      <c r="G126" s="7"/>
      <c r="H126" s="7"/>
      <c r="I126" s="7"/>
      <c r="J126" s="7"/>
      <c r="L126" s="19"/>
      <c r="M126" s="8">
        <f t="shared" si="6"/>
        <v>0</v>
      </c>
    </row>
    <row r="127" spans="2:13">
      <c r="B127" s="15">
        <v>40374</v>
      </c>
      <c r="C127" s="7"/>
      <c r="D127" s="7"/>
      <c r="E127" s="7"/>
      <c r="F127" s="16"/>
      <c r="G127" s="7"/>
      <c r="H127" s="7"/>
      <c r="I127" s="7"/>
      <c r="J127" s="7"/>
      <c r="L127" s="19"/>
      <c r="M127" s="8">
        <f t="shared" si="6"/>
        <v>0</v>
      </c>
    </row>
    <row r="128" spans="2:13">
      <c r="B128" s="15">
        <v>40375</v>
      </c>
      <c r="C128" s="7"/>
      <c r="D128" s="7"/>
      <c r="E128" s="7"/>
      <c r="F128" s="16"/>
      <c r="G128" s="7"/>
      <c r="H128" s="7"/>
      <c r="I128" s="7"/>
      <c r="J128" s="7"/>
      <c r="L128" s="19"/>
      <c r="M128" s="8">
        <f t="shared" si="6"/>
        <v>0</v>
      </c>
    </row>
    <row r="129" spans="2:13">
      <c r="B129" s="15">
        <v>40376</v>
      </c>
      <c r="C129" s="7"/>
      <c r="D129" s="7"/>
      <c r="E129" s="7"/>
      <c r="F129" s="16"/>
      <c r="G129" s="7"/>
      <c r="H129" s="7"/>
      <c r="I129" s="7"/>
      <c r="J129" s="7"/>
      <c r="L129" s="19"/>
      <c r="M129" s="8">
        <f t="shared" si="6"/>
        <v>0</v>
      </c>
    </row>
    <row r="130" spans="2:13">
      <c r="B130" s="15">
        <v>40377</v>
      </c>
      <c r="C130" s="7"/>
      <c r="D130" s="7"/>
      <c r="E130" s="7"/>
      <c r="F130" s="16"/>
      <c r="G130" s="7"/>
      <c r="H130" s="7"/>
      <c r="I130" s="7"/>
      <c r="J130" s="7"/>
      <c r="L130" s="19"/>
      <c r="M130" s="8">
        <f t="shared" si="6"/>
        <v>0</v>
      </c>
    </row>
    <row r="131" spans="2:13">
      <c r="B131" s="15">
        <v>40378</v>
      </c>
      <c r="C131" s="7"/>
      <c r="D131" s="7"/>
      <c r="E131" s="7"/>
      <c r="F131" s="16"/>
      <c r="G131" s="7"/>
      <c r="H131" s="7"/>
      <c r="I131" s="7"/>
      <c r="J131" s="7"/>
      <c r="L131" s="19"/>
      <c r="M131" s="8">
        <f t="shared" si="6"/>
        <v>0</v>
      </c>
    </row>
    <row r="132" spans="2:13">
      <c r="B132" s="15">
        <v>40379</v>
      </c>
      <c r="C132" s="7"/>
      <c r="D132" s="7"/>
      <c r="E132" s="7"/>
      <c r="F132" s="16"/>
      <c r="G132" s="7"/>
      <c r="H132" s="7"/>
      <c r="I132" s="7"/>
      <c r="J132" s="7"/>
      <c r="L132" s="19"/>
      <c r="M132" s="8">
        <f t="shared" si="6"/>
        <v>0</v>
      </c>
    </row>
    <row r="133" spans="2:13">
      <c r="B133" s="15">
        <v>40380</v>
      </c>
      <c r="C133" s="7"/>
      <c r="D133" s="7"/>
      <c r="E133" s="7"/>
      <c r="F133" s="16"/>
      <c r="G133" s="7"/>
      <c r="H133" s="7"/>
      <c r="I133" s="7"/>
      <c r="J133" s="7"/>
      <c r="L133" s="19"/>
      <c r="M133" s="8">
        <f t="shared" si="6"/>
        <v>0</v>
      </c>
    </row>
    <row r="134" spans="2:13">
      <c r="B134" s="15">
        <v>40381</v>
      </c>
      <c r="C134" s="7"/>
      <c r="D134" s="7"/>
      <c r="E134" s="7"/>
      <c r="F134" s="16"/>
      <c r="G134" s="7"/>
      <c r="H134" s="7"/>
      <c r="I134" s="7"/>
      <c r="J134" s="7"/>
      <c r="L134" s="19"/>
      <c r="M134" s="8">
        <f t="shared" si="6"/>
        <v>0</v>
      </c>
    </row>
    <row r="135" spans="2:13">
      <c r="B135" s="15">
        <v>40382</v>
      </c>
      <c r="C135" s="7"/>
      <c r="D135" s="7"/>
      <c r="E135" s="7"/>
      <c r="F135" s="16"/>
      <c r="G135" s="7"/>
      <c r="H135" s="7"/>
      <c r="I135" s="7"/>
      <c r="J135" s="7"/>
      <c r="L135" s="19"/>
      <c r="M135" s="8">
        <f t="shared" si="6"/>
        <v>0</v>
      </c>
    </row>
    <row r="136" spans="2:13">
      <c r="B136" s="15">
        <v>40383</v>
      </c>
      <c r="C136" s="7"/>
      <c r="D136" s="7"/>
      <c r="E136" s="7"/>
      <c r="F136" s="16"/>
      <c r="G136" s="7"/>
      <c r="H136" s="7"/>
      <c r="I136" s="7"/>
      <c r="J136" s="7"/>
      <c r="L136" s="19"/>
      <c r="M136" s="8">
        <f t="shared" si="6"/>
        <v>0</v>
      </c>
    </row>
    <row r="137" spans="2:13">
      <c r="B137" s="15">
        <v>40384</v>
      </c>
      <c r="C137" s="7"/>
      <c r="D137" s="7"/>
      <c r="E137" s="7"/>
      <c r="F137" s="16"/>
      <c r="G137" s="7"/>
      <c r="H137" s="7"/>
      <c r="I137" s="7"/>
      <c r="J137" s="7"/>
      <c r="L137" s="19"/>
      <c r="M137" s="8">
        <f t="shared" si="6"/>
        <v>0</v>
      </c>
    </row>
    <row r="138" spans="2:13">
      <c r="B138" s="15">
        <v>40385</v>
      </c>
      <c r="C138" s="7"/>
      <c r="D138" s="7"/>
      <c r="E138" s="7"/>
      <c r="F138" s="16"/>
      <c r="G138" s="7"/>
      <c r="H138" s="7"/>
      <c r="I138" s="7"/>
      <c r="J138" s="7"/>
      <c r="L138" s="19"/>
      <c r="M138" s="8">
        <f t="shared" si="6"/>
        <v>0</v>
      </c>
    </row>
    <row r="139" spans="2:13">
      <c r="B139" s="15">
        <v>40386</v>
      </c>
      <c r="C139" s="7"/>
      <c r="D139" s="7"/>
      <c r="E139" s="7"/>
      <c r="F139" s="16"/>
      <c r="G139" s="7"/>
      <c r="H139" s="7"/>
      <c r="I139" s="7"/>
      <c r="J139" s="7"/>
      <c r="L139" s="19"/>
      <c r="M139" s="8">
        <f t="shared" si="6"/>
        <v>0</v>
      </c>
    </row>
    <row r="140" spans="2:13">
      <c r="B140" s="15">
        <v>40387</v>
      </c>
      <c r="C140" s="7"/>
      <c r="D140" s="7"/>
      <c r="E140" s="7"/>
      <c r="F140" s="16"/>
      <c r="G140" s="7"/>
      <c r="H140" s="7"/>
      <c r="I140" s="7"/>
      <c r="J140" s="7"/>
      <c r="L140" s="19"/>
      <c r="M140" s="8">
        <f t="shared" si="6"/>
        <v>0</v>
      </c>
    </row>
    <row r="141" spans="2:13">
      <c r="B141" s="15">
        <v>40388</v>
      </c>
      <c r="C141" s="7"/>
      <c r="D141" s="7"/>
      <c r="E141" s="7"/>
      <c r="F141" s="16"/>
      <c r="G141" s="7"/>
      <c r="H141" s="7"/>
      <c r="I141" s="7"/>
      <c r="J141" s="7"/>
      <c r="L141" s="19"/>
      <c r="M141" s="8">
        <f t="shared" si="6"/>
        <v>0</v>
      </c>
    </row>
    <row r="142" spans="2:13">
      <c r="B142" s="15">
        <v>40389</v>
      </c>
      <c r="C142" s="7"/>
      <c r="D142" s="7"/>
      <c r="E142" s="7"/>
      <c r="F142" s="16"/>
      <c r="G142" s="7"/>
      <c r="H142" s="7"/>
      <c r="I142" s="7"/>
      <c r="J142" s="7"/>
      <c r="L142" s="19"/>
      <c r="M142" s="8">
        <f t="shared" si="6"/>
        <v>0</v>
      </c>
    </row>
    <row r="143" spans="2:13">
      <c r="B143" s="15">
        <v>40390</v>
      </c>
      <c r="C143" s="7"/>
      <c r="D143" s="7"/>
      <c r="E143" s="7"/>
      <c r="F143" s="16"/>
      <c r="G143" s="7"/>
      <c r="H143" s="7"/>
      <c r="I143" s="7"/>
      <c r="J143" s="7"/>
      <c r="L143" s="19"/>
      <c r="M143" s="8">
        <f t="shared" si="6"/>
        <v>0</v>
      </c>
    </row>
    <row r="144" spans="2:13">
      <c r="B144" s="15">
        <v>40391</v>
      </c>
      <c r="C144" s="7"/>
      <c r="D144" s="7"/>
      <c r="E144" s="7"/>
      <c r="F144" s="16"/>
      <c r="G144" s="7"/>
      <c r="H144" s="7"/>
      <c r="I144" s="7"/>
      <c r="J144" s="7"/>
      <c r="L144" s="19"/>
      <c r="M144" s="8">
        <f t="shared" si="6"/>
        <v>0</v>
      </c>
    </row>
    <row r="145" spans="2:13">
      <c r="B145" s="15">
        <v>40392</v>
      </c>
      <c r="C145" s="7"/>
      <c r="D145" s="7"/>
      <c r="E145" s="7"/>
      <c r="F145" s="16"/>
      <c r="G145" s="7"/>
      <c r="H145" s="7"/>
      <c r="I145" s="7"/>
      <c r="J145" s="7"/>
      <c r="L145" s="19"/>
      <c r="M145" s="8">
        <f t="shared" si="6"/>
        <v>0</v>
      </c>
    </row>
    <row r="146" spans="2:13">
      <c r="B146" s="15">
        <v>40393</v>
      </c>
      <c r="C146" s="7"/>
      <c r="D146" s="7"/>
      <c r="E146" s="7"/>
      <c r="F146" s="16"/>
      <c r="G146" s="7"/>
      <c r="H146" s="7"/>
      <c r="I146" s="7"/>
      <c r="J146" s="7"/>
      <c r="L146" s="19"/>
      <c r="M146" s="8">
        <f t="shared" si="6"/>
        <v>0</v>
      </c>
    </row>
    <row r="147" spans="2:13">
      <c r="B147" s="15">
        <v>40394</v>
      </c>
      <c r="C147" s="7"/>
      <c r="D147" s="7"/>
      <c r="E147" s="7"/>
      <c r="F147" s="16"/>
      <c r="G147" s="7"/>
      <c r="H147" s="7"/>
      <c r="I147" s="7"/>
      <c r="J147" s="7"/>
      <c r="L147" s="19"/>
      <c r="M147" s="8">
        <f t="shared" si="6"/>
        <v>0</v>
      </c>
    </row>
    <row r="148" spans="2:13">
      <c r="B148" s="15">
        <v>40395</v>
      </c>
      <c r="C148" s="7"/>
      <c r="D148" s="7"/>
      <c r="E148" s="7"/>
      <c r="F148" s="16"/>
      <c r="G148" s="7"/>
      <c r="H148" s="7"/>
      <c r="I148" s="7"/>
      <c r="J148" s="7"/>
      <c r="L148" s="19"/>
      <c r="M148" s="8">
        <f t="shared" si="6"/>
        <v>0</v>
      </c>
    </row>
    <row r="149" spans="2:13">
      <c r="B149" s="15">
        <v>40396</v>
      </c>
      <c r="C149" s="7"/>
      <c r="D149" s="7"/>
      <c r="E149" s="7"/>
      <c r="F149" s="16"/>
      <c r="G149" s="7"/>
      <c r="H149" s="7"/>
      <c r="I149" s="7"/>
      <c r="J149" s="7"/>
      <c r="L149" s="19"/>
      <c r="M149" s="8">
        <f t="shared" si="6"/>
        <v>0</v>
      </c>
    </row>
    <row r="150" spans="2:13">
      <c r="B150" s="15">
        <v>40397</v>
      </c>
      <c r="C150" s="7"/>
      <c r="D150" s="7"/>
      <c r="E150" s="7"/>
      <c r="F150" s="16"/>
      <c r="G150" s="7"/>
      <c r="H150" s="7"/>
      <c r="I150" s="7"/>
      <c r="J150" s="7"/>
      <c r="L150" s="19"/>
      <c r="M150" s="8">
        <f t="shared" si="6"/>
        <v>0</v>
      </c>
    </row>
    <row r="151" spans="2:13">
      <c r="B151" s="15">
        <v>40398</v>
      </c>
      <c r="C151" s="7"/>
      <c r="D151" s="7"/>
      <c r="E151" s="7"/>
      <c r="F151" s="16"/>
      <c r="G151" s="7"/>
      <c r="H151" s="7"/>
      <c r="I151" s="7"/>
      <c r="J151" s="7"/>
      <c r="L151" s="19"/>
      <c r="M151" s="8">
        <f t="shared" si="6"/>
        <v>0</v>
      </c>
    </row>
    <row r="152" spans="2:13">
      <c r="B152" s="15">
        <v>40399</v>
      </c>
      <c r="C152" s="7"/>
      <c r="D152" s="7"/>
      <c r="E152" s="7"/>
      <c r="F152" s="16"/>
      <c r="G152" s="7"/>
      <c r="H152" s="7"/>
      <c r="I152" s="7"/>
      <c r="J152" s="7"/>
      <c r="L152" s="19"/>
      <c r="M152" s="8">
        <f t="shared" si="6"/>
        <v>0</v>
      </c>
    </row>
    <row r="153" spans="2:13">
      <c r="B153" s="15">
        <v>40400</v>
      </c>
      <c r="C153" s="7"/>
      <c r="D153" s="7"/>
      <c r="E153" s="7"/>
      <c r="F153" s="16"/>
      <c r="G153" s="7"/>
      <c r="H153" s="7"/>
      <c r="I153" s="7"/>
      <c r="J153" s="7"/>
      <c r="L153" s="19"/>
      <c r="M153" s="8">
        <f t="shared" si="6"/>
        <v>0</v>
      </c>
    </row>
    <row r="154" spans="2:13">
      <c r="B154" s="15">
        <v>40401</v>
      </c>
      <c r="C154" s="7"/>
      <c r="D154" s="7"/>
      <c r="E154" s="7"/>
      <c r="F154" s="16"/>
      <c r="G154" s="7"/>
      <c r="H154" s="7"/>
      <c r="I154" s="7"/>
      <c r="J154" s="7"/>
      <c r="L154" s="19"/>
      <c r="M154" s="8">
        <f t="shared" si="6"/>
        <v>0</v>
      </c>
    </row>
    <row r="155" spans="2:13">
      <c r="B155" s="15">
        <v>40402</v>
      </c>
      <c r="C155" s="7"/>
      <c r="D155" s="7"/>
      <c r="E155" s="7"/>
      <c r="F155" s="16"/>
      <c r="G155" s="7"/>
      <c r="H155" s="7"/>
      <c r="I155" s="7"/>
      <c r="J155" s="7"/>
      <c r="L155" s="19"/>
      <c r="M155" s="8">
        <f t="shared" si="6"/>
        <v>0</v>
      </c>
    </row>
    <row r="156" spans="2:13">
      <c r="B156" s="15">
        <v>40403</v>
      </c>
      <c r="C156" s="7"/>
      <c r="D156" s="7"/>
      <c r="E156" s="7"/>
      <c r="F156" s="16"/>
      <c r="G156" s="7"/>
      <c r="H156" s="7"/>
      <c r="I156" s="7"/>
      <c r="J156" s="7"/>
      <c r="L156" s="19"/>
      <c r="M156" s="8">
        <f t="shared" si="6"/>
        <v>0</v>
      </c>
    </row>
    <row r="157" spans="2:13">
      <c r="B157" s="15">
        <v>40404</v>
      </c>
      <c r="C157" s="7"/>
      <c r="D157" s="7"/>
      <c r="E157" s="7"/>
      <c r="F157" s="16"/>
      <c r="G157" s="7"/>
      <c r="H157" s="7"/>
      <c r="I157" s="7"/>
      <c r="J157" s="7"/>
      <c r="L157" s="19"/>
      <c r="M157" s="8">
        <f t="shared" si="6"/>
        <v>0</v>
      </c>
    </row>
    <row r="158" spans="2:13">
      <c r="B158" s="15">
        <v>40405</v>
      </c>
      <c r="C158" s="7"/>
      <c r="D158" s="7"/>
      <c r="E158" s="7"/>
      <c r="F158" s="16"/>
      <c r="G158" s="7"/>
      <c r="H158" s="7"/>
      <c r="I158" s="7"/>
      <c r="J158" s="7"/>
      <c r="L158" s="19"/>
      <c r="M158" s="8">
        <f t="shared" si="6"/>
        <v>0</v>
      </c>
    </row>
    <row r="159" spans="2:13">
      <c r="B159" s="15">
        <v>40406</v>
      </c>
      <c r="C159" s="7"/>
      <c r="D159" s="7"/>
      <c r="E159" s="7"/>
      <c r="F159" s="16"/>
      <c r="G159" s="7"/>
      <c r="H159" s="7"/>
      <c r="I159" s="7"/>
      <c r="J159" s="7"/>
      <c r="L159" s="19"/>
      <c r="M159" s="8">
        <f t="shared" si="6"/>
        <v>0</v>
      </c>
    </row>
    <row r="160" spans="2:13">
      <c r="B160" s="15">
        <v>40407</v>
      </c>
      <c r="C160" s="7"/>
      <c r="D160" s="7"/>
      <c r="E160" s="7"/>
      <c r="F160" s="16"/>
      <c r="G160" s="7"/>
      <c r="H160" s="7"/>
      <c r="I160" s="7"/>
      <c r="J160" s="7"/>
      <c r="L160" s="19"/>
      <c r="M160" s="8">
        <f t="shared" si="6"/>
        <v>0</v>
      </c>
    </row>
    <row r="161" spans="2:13">
      <c r="B161" s="15">
        <v>40408</v>
      </c>
      <c r="C161" s="7"/>
      <c r="D161" s="7"/>
      <c r="E161" s="7"/>
      <c r="F161" s="16"/>
      <c r="G161" s="7"/>
      <c r="H161" s="7"/>
      <c r="I161" s="7"/>
      <c r="J161" s="7"/>
      <c r="L161" s="19"/>
      <c r="M161" s="8">
        <f t="shared" si="6"/>
        <v>0</v>
      </c>
    </row>
    <row r="162" spans="2:13">
      <c r="B162" s="15">
        <v>40409</v>
      </c>
      <c r="C162" s="7">
        <v>10714.984375</v>
      </c>
      <c r="D162" s="7">
        <v>11976.318359375</v>
      </c>
      <c r="E162" s="7">
        <v>7934.6474609375</v>
      </c>
      <c r="F162" s="16">
        <v>838.00958251953102</v>
      </c>
      <c r="G162" s="7">
        <v>1634.40466308594</v>
      </c>
      <c r="H162" s="7">
        <v>0</v>
      </c>
      <c r="I162" s="7">
        <v>0</v>
      </c>
      <c r="J162" s="7">
        <v>12566.455078125</v>
      </c>
      <c r="L162" s="19"/>
      <c r="M162" s="8">
        <f t="shared" si="6"/>
        <v>4041.6708984375</v>
      </c>
    </row>
    <row r="163" spans="2:13">
      <c r="B163" s="15">
        <v>40410</v>
      </c>
      <c r="C163" s="7">
        <v>11558.662109375</v>
      </c>
      <c r="D163" s="7">
        <v>12591.845703125</v>
      </c>
      <c r="E163" s="7">
        <v>11047.021484375</v>
      </c>
      <c r="F163" s="16">
        <v>951.989013671875</v>
      </c>
      <c r="G163" s="7">
        <v>1094.48205566406</v>
      </c>
      <c r="H163" s="7">
        <v>0</v>
      </c>
      <c r="I163" s="7">
        <v>0</v>
      </c>
      <c r="J163" s="7">
        <v>12063.408203125</v>
      </c>
      <c r="L163" s="19"/>
      <c r="M163" s="8">
        <f t="shared" si="6"/>
        <v>1544.82421875</v>
      </c>
    </row>
    <row r="164" spans="2:13">
      <c r="B164" s="15">
        <v>40411</v>
      </c>
      <c r="C164" s="7">
        <v>10906.5849609375</v>
      </c>
      <c r="D164" s="7">
        <v>12000.8203125</v>
      </c>
      <c r="E164" s="7">
        <v>9702.1318359375</v>
      </c>
      <c r="F164" s="16">
        <v>1062.86706542969</v>
      </c>
      <c r="G164" s="7">
        <v>2184.06640625</v>
      </c>
      <c r="H164" s="7">
        <v>0</v>
      </c>
      <c r="I164" s="7">
        <v>0</v>
      </c>
      <c r="J164" s="7">
        <v>14138.955078125</v>
      </c>
      <c r="L164" s="19"/>
      <c r="M164" s="8">
        <f t="shared" si="6"/>
        <v>2298.6884765625</v>
      </c>
    </row>
    <row r="165" spans="2:13">
      <c r="B165" s="15">
        <v>40412</v>
      </c>
      <c r="C165" s="7">
        <v>11172.849609375</v>
      </c>
      <c r="D165" s="7">
        <v>11623.212890625</v>
      </c>
      <c r="E165" s="7">
        <v>10810.888671875</v>
      </c>
      <c r="F165" s="16">
        <v>935.677734375</v>
      </c>
      <c r="G165" s="7">
        <v>1377.62805175781</v>
      </c>
      <c r="H165" s="7">
        <v>0</v>
      </c>
      <c r="I165" s="7">
        <v>0</v>
      </c>
      <c r="J165" s="7">
        <v>11796.23046875</v>
      </c>
      <c r="L165" s="19"/>
      <c r="M165" s="8">
        <f t="shared" si="6"/>
        <v>812.32421875</v>
      </c>
    </row>
    <row r="166" spans="2:13">
      <c r="B166" s="15">
        <v>40413</v>
      </c>
      <c r="C166" s="7">
        <v>12208.9052734375</v>
      </c>
      <c r="D166" s="7">
        <v>13074.423828125</v>
      </c>
      <c r="E166" s="7">
        <v>11081.71875</v>
      </c>
      <c r="F166" s="16">
        <v>1177.38110351563</v>
      </c>
      <c r="G166" s="7">
        <v>2315.60961914063</v>
      </c>
      <c r="H166" s="7">
        <v>377.6865234375</v>
      </c>
      <c r="I166" s="7">
        <v>527.7314453125</v>
      </c>
      <c r="J166" s="7">
        <v>14966.1328125</v>
      </c>
      <c r="L166" s="19"/>
      <c r="M166" s="8">
        <f t="shared" si="6"/>
        <v>1992.705078125</v>
      </c>
    </row>
    <row r="167" spans="2:13">
      <c r="B167" s="15">
        <v>40414</v>
      </c>
      <c r="C167" s="7">
        <v>12964.95703125</v>
      </c>
      <c r="D167" s="7">
        <v>13290.13671875</v>
      </c>
      <c r="E167" s="7">
        <v>12674.130859375</v>
      </c>
      <c r="F167" s="16">
        <v>1178.28063964844</v>
      </c>
      <c r="G167" s="7">
        <v>2749.31494140625</v>
      </c>
      <c r="H167" s="7">
        <v>8.49609375E-2</v>
      </c>
      <c r="I167" s="7">
        <v>280.689453125</v>
      </c>
      <c r="J167" s="7">
        <v>15163.369140625</v>
      </c>
      <c r="L167" s="19"/>
      <c r="M167" s="8">
        <f t="shared" ref="M167:M192" si="7">D167-E167</f>
        <v>616.005859375</v>
      </c>
    </row>
    <row r="168" spans="2:13">
      <c r="B168" s="15">
        <v>40415</v>
      </c>
      <c r="C168" s="7">
        <v>13425.5537109375</v>
      </c>
      <c r="D168" s="7">
        <v>14354.53125</v>
      </c>
      <c r="E168" s="7">
        <v>12603.26171875</v>
      </c>
      <c r="F168" s="16">
        <v>1168.20642089844</v>
      </c>
      <c r="G168" s="7">
        <v>2497.24584960938</v>
      </c>
      <c r="H168" s="7">
        <v>91.5029296875</v>
      </c>
      <c r="I168" s="7">
        <v>278.6064453125</v>
      </c>
      <c r="J168" s="7">
        <v>15312.255859375</v>
      </c>
      <c r="L168" s="19"/>
      <c r="M168" s="8">
        <f t="shared" si="7"/>
        <v>1751.26953125</v>
      </c>
    </row>
    <row r="169" spans="2:13">
      <c r="B169" s="15">
        <v>40416</v>
      </c>
      <c r="C169" s="7">
        <v>13922.4296875</v>
      </c>
      <c r="D169" s="7">
        <v>14267.607421875</v>
      </c>
      <c r="E169" s="7">
        <v>13660.29296875</v>
      </c>
      <c r="F169" s="16">
        <v>952.84619140625</v>
      </c>
      <c r="G169" s="7">
        <v>3111.5703125</v>
      </c>
      <c r="H169" s="7">
        <v>34.5732421875</v>
      </c>
      <c r="I169" s="7">
        <v>178.0537109375</v>
      </c>
      <c r="J169" s="7">
        <v>15359.70703125</v>
      </c>
      <c r="L169" s="19"/>
      <c r="M169" s="8">
        <f t="shared" si="7"/>
        <v>607.314453125</v>
      </c>
    </row>
    <row r="170" spans="2:13">
      <c r="B170" s="15">
        <v>40417</v>
      </c>
      <c r="C170" s="7">
        <v>13923.4091796875</v>
      </c>
      <c r="D170" s="7">
        <v>14015.361328125</v>
      </c>
      <c r="E170" s="7">
        <v>13760.95703125</v>
      </c>
      <c r="F170" s="16">
        <v>960.33343505859398</v>
      </c>
      <c r="G170" s="7">
        <v>3197.07495117188</v>
      </c>
      <c r="H170" s="7">
        <v>0</v>
      </c>
      <c r="I170" s="7">
        <v>164.6259765625</v>
      </c>
      <c r="J170" s="7">
        <v>15249.658203125</v>
      </c>
      <c r="L170" s="19"/>
      <c r="M170" s="8">
        <f t="shared" si="7"/>
        <v>254.404296875</v>
      </c>
    </row>
    <row r="171" spans="2:13">
      <c r="B171" s="15">
        <v>40418</v>
      </c>
      <c r="C171" s="7">
        <v>13969.6591796875</v>
      </c>
      <c r="D171" s="7">
        <v>14030.234375</v>
      </c>
      <c r="E171" s="7">
        <v>13796.123046875</v>
      </c>
      <c r="F171" s="16">
        <v>966.80499267578102</v>
      </c>
      <c r="G171" s="7">
        <v>3171.90698242188</v>
      </c>
      <c r="H171" s="7">
        <v>0</v>
      </c>
      <c r="I171" s="7">
        <v>161.56640625</v>
      </c>
      <c r="J171" s="7">
        <v>15277.041015625</v>
      </c>
      <c r="L171" s="19"/>
      <c r="M171" s="8">
        <f t="shared" si="7"/>
        <v>234.111328125</v>
      </c>
    </row>
    <row r="172" spans="2:13">
      <c r="B172" s="15">
        <v>40419</v>
      </c>
      <c r="C172" s="7">
        <v>13990.8486328125</v>
      </c>
      <c r="D172" s="7">
        <v>14024.404296875</v>
      </c>
      <c r="E172" s="7">
        <v>13945.166015625</v>
      </c>
      <c r="F172" s="16">
        <v>970.726806640625</v>
      </c>
      <c r="G172" s="7">
        <v>3192.42602539063</v>
      </c>
      <c r="H172" s="7">
        <v>0</v>
      </c>
      <c r="I172" s="7">
        <v>161.5146484375</v>
      </c>
      <c r="J172" s="7">
        <v>15304.326171875</v>
      </c>
      <c r="L172" s="19"/>
      <c r="M172" s="8">
        <f t="shared" si="7"/>
        <v>79.23828125</v>
      </c>
    </row>
    <row r="173" spans="2:13">
      <c r="B173" s="15">
        <v>40420</v>
      </c>
      <c r="C173" s="7">
        <v>14109.6005859375</v>
      </c>
      <c r="D173" s="7">
        <v>14226.11328125</v>
      </c>
      <c r="E173" s="7">
        <v>14034.84375</v>
      </c>
      <c r="F173" s="16">
        <v>1018.75030517578</v>
      </c>
      <c r="G173" s="7">
        <v>3479.47998046875</v>
      </c>
      <c r="H173" s="7">
        <v>28.8720703125</v>
      </c>
      <c r="I173" s="7">
        <v>676.115234375</v>
      </c>
      <c r="J173" s="7">
        <v>16977.001953125</v>
      </c>
      <c r="L173" s="19"/>
      <c r="M173" s="8">
        <f t="shared" si="7"/>
        <v>191.26953125</v>
      </c>
    </row>
    <row r="174" spans="2:13">
      <c r="B174" s="15">
        <v>40421</v>
      </c>
      <c r="C174" s="7">
        <v>14075.55078125</v>
      </c>
      <c r="D174" s="7">
        <v>14312.666015625</v>
      </c>
      <c r="E174" s="7">
        <v>12521.845703125</v>
      </c>
      <c r="F174" s="16">
        <v>1076.14929199219</v>
      </c>
      <c r="G174" s="7">
        <v>4271.65234375</v>
      </c>
      <c r="H174" s="7">
        <v>673.2646484375</v>
      </c>
      <c r="I174" s="7">
        <v>875.0283203125</v>
      </c>
      <c r="J174" s="7">
        <v>17026.09375</v>
      </c>
      <c r="L174" s="19"/>
      <c r="M174" s="8">
        <f t="shared" si="7"/>
        <v>1790.8203125</v>
      </c>
    </row>
    <row r="175" spans="2:13">
      <c r="B175" s="15">
        <v>40422</v>
      </c>
      <c r="C175" s="7">
        <v>13894.318359375</v>
      </c>
      <c r="D175" s="7">
        <v>14300.322265625</v>
      </c>
      <c r="E175" s="7">
        <v>12964.31640625</v>
      </c>
      <c r="F175" s="16">
        <v>1153.84948730469</v>
      </c>
      <c r="G175" s="7">
        <v>4012.53564453125</v>
      </c>
      <c r="H175" s="7">
        <v>662.7958984375</v>
      </c>
      <c r="I175" s="7">
        <v>846.236328125</v>
      </c>
      <c r="J175" s="7">
        <v>16725.859375</v>
      </c>
      <c r="L175" s="19"/>
      <c r="M175" s="8">
        <f t="shared" si="7"/>
        <v>1336.005859375</v>
      </c>
    </row>
    <row r="176" spans="2:13">
      <c r="B176" s="15">
        <v>40423</v>
      </c>
      <c r="C176" s="7">
        <v>12521.78125</v>
      </c>
      <c r="D176" s="7">
        <v>13664.1796875</v>
      </c>
      <c r="E176" s="7">
        <v>11677.919921875</v>
      </c>
      <c r="F176" s="16">
        <v>1056.91198730469</v>
      </c>
      <c r="G176" s="7">
        <v>7827.658203125</v>
      </c>
      <c r="H176" s="7">
        <v>3186.3271484375</v>
      </c>
      <c r="I176" s="7">
        <v>2104.099609375</v>
      </c>
      <c r="J176" s="7">
        <v>23059.189453125</v>
      </c>
      <c r="L176" s="19"/>
      <c r="M176" s="8">
        <f t="shared" si="7"/>
        <v>1986.259765625</v>
      </c>
    </row>
    <row r="177" spans="2:13">
      <c r="B177" s="15">
        <v>40424</v>
      </c>
      <c r="C177" s="7">
        <v>12393.322265625</v>
      </c>
      <c r="D177" s="7">
        <v>14027.6171875</v>
      </c>
      <c r="E177" s="7">
        <v>11049.736328125</v>
      </c>
      <c r="F177" s="16">
        <v>788.13067626953102</v>
      </c>
      <c r="G177" s="7">
        <v>11212.275390625</v>
      </c>
      <c r="H177" s="7">
        <v>1476.3515625</v>
      </c>
      <c r="I177" s="7">
        <v>1968.134765625</v>
      </c>
      <c r="J177" s="7">
        <v>22926.748046875</v>
      </c>
      <c r="L177" s="19"/>
      <c r="M177" s="8">
        <f t="shared" si="7"/>
        <v>2977.880859375</v>
      </c>
    </row>
    <row r="178" spans="2:13">
      <c r="B178" s="15">
        <v>40425</v>
      </c>
      <c r="C178" s="7">
        <v>13009.6455078125</v>
      </c>
      <c r="D178" s="7">
        <v>13898.896484375</v>
      </c>
      <c r="E178" s="7">
        <v>10723.876953125</v>
      </c>
      <c r="F178" s="16">
        <v>730.22802734375</v>
      </c>
      <c r="G178" s="7">
        <v>11369.1552734375</v>
      </c>
      <c r="H178" s="7">
        <v>862.634765625</v>
      </c>
      <c r="I178" s="7">
        <v>938.716796875</v>
      </c>
      <c r="J178" s="7">
        <v>23051.71875</v>
      </c>
      <c r="L178" s="19"/>
      <c r="M178" s="8">
        <f t="shared" si="7"/>
        <v>3175.01953125</v>
      </c>
    </row>
    <row r="179" spans="2:13">
      <c r="B179" s="15">
        <v>40426</v>
      </c>
      <c r="C179" s="7">
        <v>11650.3544921875</v>
      </c>
      <c r="D179" s="7">
        <v>12479.189453125</v>
      </c>
      <c r="E179" s="7">
        <v>11079.794921875</v>
      </c>
      <c r="F179" s="16">
        <v>698.0830078125</v>
      </c>
      <c r="G179" s="7">
        <v>11092.3857421875</v>
      </c>
      <c r="H179" s="7">
        <v>819.28125</v>
      </c>
      <c r="I179" s="7">
        <v>930.3408203125</v>
      </c>
      <c r="J179" s="7">
        <v>20810.322265625</v>
      </c>
      <c r="L179" s="19"/>
      <c r="M179" s="8">
        <f t="shared" si="7"/>
        <v>1399.39453125</v>
      </c>
    </row>
    <row r="180" spans="2:13">
      <c r="B180" s="15">
        <v>40427</v>
      </c>
      <c r="C180" s="7">
        <v>11799.4599609375</v>
      </c>
      <c r="D180" s="7">
        <v>12944.4921875</v>
      </c>
      <c r="E180" s="7">
        <v>10336.396484375</v>
      </c>
      <c r="F180" s="16">
        <v>842.10003662109398</v>
      </c>
      <c r="G180" s="7">
        <v>11482.130859375</v>
      </c>
      <c r="H180" s="7">
        <v>1590.91796875</v>
      </c>
      <c r="I180" s="7">
        <v>1421.8125</v>
      </c>
      <c r="J180" s="7">
        <v>22442.001953125</v>
      </c>
      <c r="L180" s="19"/>
      <c r="M180" s="8">
        <f t="shared" si="7"/>
        <v>2608.095703125</v>
      </c>
    </row>
    <row r="181" spans="2:13">
      <c r="B181" s="15">
        <v>40428</v>
      </c>
      <c r="C181" s="7">
        <v>12803.0947265625</v>
      </c>
      <c r="D181" s="7">
        <v>13490.654296875</v>
      </c>
      <c r="E181" s="7">
        <v>12066.162109375</v>
      </c>
      <c r="F181" s="16">
        <v>1233.89733886719</v>
      </c>
      <c r="G181" s="7">
        <v>8706.2470703125</v>
      </c>
      <c r="H181" s="7">
        <v>1089.494140625</v>
      </c>
      <c r="I181" s="7">
        <v>1591.935546875</v>
      </c>
      <c r="J181" s="7">
        <v>22401.62109375</v>
      </c>
      <c r="L181" s="19"/>
      <c r="M181" s="8">
        <f t="shared" si="7"/>
        <v>1424.4921875</v>
      </c>
    </row>
    <row r="182" spans="2:13">
      <c r="B182" s="15">
        <v>40429</v>
      </c>
      <c r="C182" s="7">
        <v>13704.326171875</v>
      </c>
      <c r="D182" s="7">
        <v>14541.9921875</v>
      </c>
      <c r="E182" s="7">
        <v>12066.865234375</v>
      </c>
      <c r="F182" s="16">
        <v>1663.28137207031</v>
      </c>
      <c r="G182" s="7">
        <v>5872.09765625</v>
      </c>
      <c r="H182" s="7">
        <v>1069.96484375</v>
      </c>
      <c r="I182" s="7">
        <v>1254.7041015625</v>
      </c>
      <c r="J182" s="7">
        <v>19746.26953125</v>
      </c>
      <c r="L182" s="19"/>
      <c r="M182" s="8">
        <f t="shared" si="7"/>
        <v>2475.126953125</v>
      </c>
    </row>
    <row r="183" spans="2:13">
      <c r="B183" s="15">
        <v>40430</v>
      </c>
      <c r="C183" s="7">
        <v>12645.0439453125</v>
      </c>
      <c r="D183" s="7">
        <v>14437.48046875</v>
      </c>
      <c r="E183" s="7">
        <v>11168.1640625</v>
      </c>
      <c r="F183" s="16">
        <v>1273.2978515625</v>
      </c>
      <c r="G183" s="7">
        <v>7087.0185546875</v>
      </c>
      <c r="H183" s="7">
        <v>1913.0478515625</v>
      </c>
      <c r="I183" s="7">
        <v>3334.5517578125</v>
      </c>
      <c r="J183" s="7">
        <v>20087.16796875</v>
      </c>
      <c r="L183" s="19"/>
      <c r="M183" s="8">
        <f t="shared" si="7"/>
        <v>3269.31640625</v>
      </c>
    </row>
    <row r="184" spans="2:13">
      <c r="B184" s="15">
        <v>40431</v>
      </c>
      <c r="C184" s="7">
        <v>12446.515625</v>
      </c>
      <c r="D184" s="7">
        <v>13572.2265625</v>
      </c>
      <c r="E184" s="7">
        <v>10770.3125</v>
      </c>
      <c r="F184" s="16">
        <v>1301.62023925781</v>
      </c>
      <c r="G184" s="7">
        <v>11194.435546875</v>
      </c>
      <c r="H184" s="7">
        <v>3101.091796875</v>
      </c>
      <c r="I184" s="7">
        <v>3390.427734375</v>
      </c>
      <c r="J184" s="7">
        <v>30408.80859375</v>
      </c>
      <c r="L184" s="19"/>
      <c r="M184" s="8">
        <f t="shared" si="7"/>
        <v>2801.9140625</v>
      </c>
    </row>
    <row r="185" spans="2:13">
      <c r="B185" s="15">
        <v>40432</v>
      </c>
      <c r="C185" s="7"/>
      <c r="D185" s="7"/>
      <c r="E185" s="7"/>
      <c r="F185" s="16"/>
      <c r="G185" s="7"/>
      <c r="H185" s="7"/>
      <c r="I185" s="7"/>
      <c r="J185" s="7"/>
      <c r="L185" s="19"/>
      <c r="M185" s="8">
        <f t="shared" si="7"/>
        <v>0</v>
      </c>
    </row>
    <row r="186" spans="2:13">
      <c r="B186" s="15">
        <v>40433</v>
      </c>
      <c r="C186" s="7"/>
      <c r="D186" s="7"/>
      <c r="E186" s="7"/>
      <c r="F186" s="16"/>
      <c r="G186" s="7"/>
      <c r="H186" s="7"/>
      <c r="I186" s="7"/>
      <c r="J186" s="7"/>
      <c r="L186" s="19"/>
      <c r="M186" s="8">
        <f t="shared" si="7"/>
        <v>0</v>
      </c>
    </row>
    <row r="187" spans="2:13">
      <c r="B187" s="15">
        <v>40434</v>
      </c>
      <c r="C187" s="7">
        <v>10571.9736328125</v>
      </c>
      <c r="D187" s="7">
        <v>11879.3359375</v>
      </c>
      <c r="E187" s="7">
        <v>9715.4345703125</v>
      </c>
      <c r="F187" s="16">
        <v>654.77258300781295</v>
      </c>
      <c r="G187" s="7">
        <v>5890.06396484375</v>
      </c>
      <c r="H187" s="7">
        <v>0</v>
      </c>
      <c r="I187" s="7">
        <v>1.08984375</v>
      </c>
      <c r="J187" s="7">
        <v>15509.74609375</v>
      </c>
      <c r="L187" s="19"/>
      <c r="M187" s="8">
        <f t="shared" si="7"/>
        <v>2163.9013671875</v>
      </c>
    </row>
    <row r="188" spans="2:13">
      <c r="B188" s="15">
        <v>40435</v>
      </c>
      <c r="C188" s="7">
        <v>11446.21484375</v>
      </c>
      <c r="D188" s="7">
        <v>14033.0078125</v>
      </c>
      <c r="E188" s="7">
        <v>9937.91015625</v>
      </c>
      <c r="F188" s="16">
        <v>710.29040527343795</v>
      </c>
      <c r="G188" s="7">
        <v>7553.3232421875</v>
      </c>
      <c r="H188" s="7">
        <v>839.8837890625</v>
      </c>
      <c r="I188" s="7">
        <v>1023.9375</v>
      </c>
      <c r="J188" s="7">
        <v>23337.5</v>
      </c>
      <c r="L188" s="19"/>
      <c r="M188" s="8">
        <f t="shared" si="7"/>
        <v>4095.09765625</v>
      </c>
    </row>
    <row r="189" spans="2:13">
      <c r="B189" s="15">
        <v>40436</v>
      </c>
      <c r="C189" s="7">
        <v>11686.2412109375</v>
      </c>
      <c r="D189" s="7">
        <v>12928.232421875</v>
      </c>
      <c r="E189" s="7">
        <v>10919.47265625</v>
      </c>
      <c r="F189" s="16">
        <v>737.23236083984398</v>
      </c>
      <c r="G189" s="7">
        <v>8111.70703125</v>
      </c>
      <c r="H189" s="7">
        <v>0</v>
      </c>
      <c r="I189" s="7">
        <v>220.7578125</v>
      </c>
      <c r="J189" s="7">
        <v>20412.119140625</v>
      </c>
      <c r="L189" s="19"/>
      <c r="M189" s="8">
        <f t="shared" si="7"/>
        <v>2008.759765625</v>
      </c>
    </row>
    <row r="190" spans="2:13">
      <c r="B190" s="15">
        <v>40437</v>
      </c>
      <c r="C190" s="7">
        <v>11592.146484375</v>
      </c>
      <c r="D190" s="7">
        <v>12655.68359375</v>
      </c>
      <c r="E190" s="7">
        <v>9856.640625</v>
      </c>
      <c r="F190" s="16">
        <v>1004.328125</v>
      </c>
      <c r="G190" s="7">
        <v>9297.7509765625</v>
      </c>
      <c r="H190" s="7">
        <v>0</v>
      </c>
      <c r="I190" s="7">
        <v>210.0859375</v>
      </c>
      <c r="J190" s="7">
        <v>25051.03515625</v>
      </c>
      <c r="L190" s="19"/>
      <c r="M190" s="8">
        <f t="shared" si="7"/>
        <v>2799.04296875</v>
      </c>
    </row>
    <row r="191" spans="2:13">
      <c r="B191" s="15">
        <v>40438</v>
      </c>
      <c r="C191" s="7">
        <v>11444.599609375</v>
      </c>
      <c r="D191" s="7">
        <v>12804.62890625</v>
      </c>
      <c r="E191" s="7">
        <v>9977.900390625</v>
      </c>
      <c r="F191" s="16">
        <v>1183.31372070313</v>
      </c>
      <c r="G191" s="7">
        <v>9445.1982421875</v>
      </c>
      <c r="H191" s="7">
        <v>492.06640625</v>
      </c>
      <c r="I191" s="7">
        <v>272.5986328125</v>
      </c>
      <c r="J191" s="7">
        <v>26183.525390625</v>
      </c>
      <c r="L191" s="19"/>
      <c r="M191" s="8">
        <f t="shared" si="7"/>
        <v>2826.728515625</v>
      </c>
    </row>
    <row r="192" spans="2:13">
      <c r="B192" s="15">
        <v>40439</v>
      </c>
      <c r="C192" s="7">
        <v>10588.18359375</v>
      </c>
      <c r="D192" s="7">
        <v>13210.76171875</v>
      </c>
      <c r="E192" s="7">
        <v>9077.1025390625</v>
      </c>
      <c r="F192" s="16">
        <v>846.85614013671898</v>
      </c>
      <c r="G192" s="7">
        <v>7424.28564453125</v>
      </c>
      <c r="H192" s="7">
        <v>1822.4765625</v>
      </c>
      <c r="I192" s="7">
        <v>823.3740234375</v>
      </c>
      <c r="J192" s="7">
        <v>19307.705078125</v>
      </c>
      <c r="L192" s="19"/>
      <c r="M192" s="8">
        <f t="shared" si="7"/>
        <v>4133.6591796875</v>
      </c>
    </row>
    <row r="193" spans="2:15">
      <c r="B193" s="15">
        <v>40440</v>
      </c>
      <c r="C193" s="7">
        <v>10036.2080078125</v>
      </c>
      <c r="D193" s="7">
        <v>10071.279296875</v>
      </c>
      <c r="E193" s="7">
        <v>10020.9765625</v>
      </c>
      <c r="F193" s="16">
        <v>715.31970214843795</v>
      </c>
      <c r="G193" s="7">
        <v>7098.05859375</v>
      </c>
      <c r="H193" s="7">
        <v>1822.4765625</v>
      </c>
      <c r="I193" s="7">
        <v>301.0166015625</v>
      </c>
      <c r="J193" s="7">
        <v>15151.669921875</v>
      </c>
      <c r="L193" s="19"/>
      <c r="M193" s="8"/>
    </row>
    <row r="201" spans="2:15">
      <c r="B201" t="s">
        <v>4</v>
      </c>
      <c r="C201" t="s">
        <v>20</v>
      </c>
      <c r="D201" t="s">
        <v>21</v>
      </c>
      <c r="E201" t="s">
        <v>22</v>
      </c>
      <c r="F201" s="3" t="s">
        <v>23</v>
      </c>
      <c r="G201" t="s">
        <v>24</v>
      </c>
      <c r="H201" t="s">
        <v>36</v>
      </c>
      <c r="M201" t="str">
        <f>D201</f>
        <v xml:space="preserve"> Disk Usage Max (KB/sec)</v>
      </c>
      <c r="N201" s="3" t="str">
        <f>F201</f>
        <v xml:space="preserve"> Disk Read Ratio(%)</v>
      </c>
      <c r="O201" s="3" t="str">
        <f>G201</f>
        <v xml:space="preserve"> Disk Write Ratio(%)</v>
      </c>
    </row>
    <row r="202" spans="2:15">
      <c r="B202" s="15">
        <v>40349</v>
      </c>
      <c r="M202">
        <f>D202-E202</f>
        <v>0</v>
      </c>
      <c r="N202">
        <f>F202/100</f>
        <v>0</v>
      </c>
      <c r="O202">
        <f>G202/100</f>
        <v>0</v>
      </c>
    </row>
    <row r="203" spans="2:15">
      <c r="B203" s="15">
        <v>40350</v>
      </c>
      <c r="M203">
        <f t="shared" ref="M203:M266" si="8">D203-E203</f>
        <v>0</v>
      </c>
      <c r="N203">
        <f t="shared" ref="N203:O266" si="9">F203/100</f>
        <v>0</v>
      </c>
      <c r="O203">
        <f t="shared" si="9"/>
        <v>0</v>
      </c>
    </row>
    <row r="204" spans="2:15">
      <c r="B204" s="15">
        <v>40351</v>
      </c>
      <c r="M204">
        <f t="shared" si="8"/>
        <v>0</v>
      </c>
      <c r="N204">
        <f t="shared" si="9"/>
        <v>0</v>
      </c>
      <c r="O204">
        <f t="shared" si="9"/>
        <v>0</v>
      </c>
    </row>
    <row r="205" spans="2:15">
      <c r="B205" s="15">
        <v>40352</v>
      </c>
      <c r="M205">
        <f t="shared" si="8"/>
        <v>0</v>
      </c>
      <c r="N205">
        <f t="shared" si="9"/>
        <v>0</v>
      </c>
      <c r="O205">
        <f t="shared" si="9"/>
        <v>0</v>
      </c>
    </row>
    <row r="206" spans="2:15">
      <c r="B206" s="15">
        <v>40353</v>
      </c>
      <c r="M206">
        <f t="shared" si="8"/>
        <v>0</v>
      </c>
      <c r="N206">
        <f t="shared" si="9"/>
        <v>0</v>
      </c>
      <c r="O206">
        <f t="shared" si="9"/>
        <v>0</v>
      </c>
    </row>
    <row r="207" spans="2:15">
      <c r="B207" s="15">
        <v>40354</v>
      </c>
      <c r="M207">
        <f t="shared" si="8"/>
        <v>0</v>
      </c>
      <c r="N207">
        <f t="shared" si="9"/>
        <v>0</v>
      </c>
      <c r="O207">
        <f t="shared" si="9"/>
        <v>0</v>
      </c>
    </row>
    <row r="208" spans="2:15">
      <c r="B208" s="15">
        <v>40355</v>
      </c>
      <c r="M208">
        <f t="shared" si="8"/>
        <v>0</v>
      </c>
      <c r="N208">
        <f t="shared" si="9"/>
        <v>0</v>
      </c>
      <c r="O208">
        <f t="shared" si="9"/>
        <v>0</v>
      </c>
    </row>
    <row r="209" spans="2:15">
      <c r="B209" s="15">
        <v>40356</v>
      </c>
      <c r="M209">
        <f t="shared" si="8"/>
        <v>0</v>
      </c>
      <c r="N209">
        <f t="shared" si="9"/>
        <v>0</v>
      </c>
      <c r="O209">
        <f t="shared" si="9"/>
        <v>0</v>
      </c>
    </row>
    <row r="210" spans="2:15">
      <c r="B210" s="15">
        <v>40357</v>
      </c>
      <c r="M210">
        <f t="shared" si="8"/>
        <v>0</v>
      </c>
      <c r="N210">
        <f t="shared" si="9"/>
        <v>0</v>
      </c>
      <c r="O210">
        <f t="shared" si="9"/>
        <v>0</v>
      </c>
    </row>
    <row r="211" spans="2:15">
      <c r="B211" s="15">
        <v>40358</v>
      </c>
      <c r="M211">
        <f t="shared" si="8"/>
        <v>0</v>
      </c>
      <c r="N211">
        <f t="shared" si="9"/>
        <v>0</v>
      </c>
      <c r="O211">
        <f t="shared" si="9"/>
        <v>0</v>
      </c>
    </row>
    <row r="212" spans="2:15">
      <c r="B212" s="15">
        <v>40359</v>
      </c>
      <c r="M212">
        <f t="shared" si="8"/>
        <v>0</v>
      </c>
      <c r="N212">
        <f t="shared" si="9"/>
        <v>0</v>
      </c>
      <c r="O212">
        <f t="shared" si="9"/>
        <v>0</v>
      </c>
    </row>
    <row r="213" spans="2:15">
      <c r="B213" s="15">
        <v>40360</v>
      </c>
      <c r="M213">
        <f t="shared" si="8"/>
        <v>0</v>
      </c>
      <c r="N213">
        <f t="shared" si="9"/>
        <v>0</v>
      </c>
      <c r="O213">
        <f t="shared" si="9"/>
        <v>0</v>
      </c>
    </row>
    <row r="214" spans="2:15">
      <c r="B214" s="15">
        <v>40361</v>
      </c>
      <c r="M214">
        <f t="shared" si="8"/>
        <v>0</v>
      </c>
      <c r="N214">
        <f t="shared" si="9"/>
        <v>0</v>
      </c>
      <c r="O214">
        <f t="shared" si="9"/>
        <v>0</v>
      </c>
    </row>
    <row r="215" spans="2:15">
      <c r="B215" s="15">
        <v>40362</v>
      </c>
      <c r="M215">
        <f t="shared" si="8"/>
        <v>0</v>
      </c>
      <c r="N215">
        <f t="shared" si="9"/>
        <v>0</v>
      </c>
      <c r="O215">
        <f t="shared" si="9"/>
        <v>0</v>
      </c>
    </row>
    <row r="216" spans="2:15">
      <c r="B216" s="15">
        <v>40363</v>
      </c>
      <c r="M216">
        <f t="shared" si="8"/>
        <v>0</v>
      </c>
      <c r="N216">
        <f t="shared" si="9"/>
        <v>0</v>
      </c>
      <c r="O216">
        <f t="shared" si="9"/>
        <v>0</v>
      </c>
    </row>
    <row r="217" spans="2:15">
      <c r="B217" s="15">
        <v>40364</v>
      </c>
      <c r="M217">
        <f t="shared" si="8"/>
        <v>0</v>
      </c>
      <c r="N217">
        <f t="shared" si="9"/>
        <v>0</v>
      </c>
      <c r="O217">
        <f t="shared" si="9"/>
        <v>0</v>
      </c>
    </row>
    <row r="218" spans="2:15">
      <c r="B218" s="15">
        <v>40365</v>
      </c>
      <c r="M218">
        <f t="shared" si="8"/>
        <v>0</v>
      </c>
      <c r="N218">
        <f t="shared" si="9"/>
        <v>0</v>
      </c>
      <c r="O218">
        <f t="shared" si="9"/>
        <v>0</v>
      </c>
    </row>
    <row r="219" spans="2:15">
      <c r="B219" s="15">
        <v>40366</v>
      </c>
      <c r="M219">
        <f t="shared" si="8"/>
        <v>0</v>
      </c>
      <c r="N219">
        <f t="shared" si="9"/>
        <v>0</v>
      </c>
      <c r="O219">
        <f t="shared" si="9"/>
        <v>0</v>
      </c>
    </row>
    <row r="220" spans="2:15">
      <c r="B220" s="15">
        <v>40367</v>
      </c>
      <c r="M220">
        <f t="shared" si="8"/>
        <v>0</v>
      </c>
      <c r="N220">
        <f t="shared" si="9"/>
        <v>0</v>
      </c>
      <c r="O220">
        <f t="shared" si="9"/>
        <v>0</v>
      </c>
    </row>
    <row r="221" spans="2:15">
      <c r="B221" s="15">
        <v>40368</v>
      </c>
      <c r="M221">
        <f t="shared" si="8"/>
        <v>0</v>
      </c>
      <c r="N221">
        <f t="shared" si="9"/>
        <v>0</v>
      </c>
      <c r="O221">
        <f t="shared" si="9"/>
        <v>0</v>
      </c>
    </row>
    <row r="222" spans="2:15">
      <c r="B222" s="15">
        <v>40369</v>
      </c>
      <c r="M222">
        <f t="shared" si="8"/>
        <v>0</v>
      </c>
      <c r="N222">
        <f t="shared" si="9"/>
        <v>0</v>
      </c>
      <c r="O222">
        <f t="shared" si="9"/>
        <v>0</v>
      </c>
    </row>
    <row r="223" spans="2:15">
      <c r="B223" s="15">
        <v>40370</v>
      </c>
      <c r="M223">
        <f t="shared" si="8"/>
        <v>0</v>
      </c>
      <c r="N223">
        <f t="shared" si="9"/>
        <v>0</v>
      </c>
      <c r="O223">
        <f t="shared" si="9"/>
        <v>0</v>
      </c>
    </row>
    <row r="224" spans="2:15">
      <c r="B224" s="15">
        <v>40371</v>
      </c>
      <c r="M224">
        <f t="shared" si="8"/>
        <v>0</v>
      </c>
      <c r="N224">
        <f t="shared" si="9"/>
        <v>0</v>
      </c>
      <c r="O224">
        <f t="shared" si="9"/>
        <v>0</v>
      </c>
    </row>
    <row r="225" spans="2:15">
      <c r="B225" s="15">
        <v>40372</v>
      </c>
      <c r="M225">
        <f t="shared" si="8"/>
        <v>0</v>
      </c>
      <c r="N225">
        <f t="shared" si="9"/>
        <v>0</v>
      </c>
      <c r="O225">
        <f t="shared" si="9"/>
        <v>0</v>
      </c>
    </row>
    <row r="226" spans="2:15">
      <c r="B226" s="15">
        <v>40373</v>
      </c>
      <c r="M226">
        <f t="shared" si="8"/>
        <v>0</v>
      </c>
      <c r="N226">
        <f t="shared" si="9"/>
        <v>0</v>
      </c>
      <c r="O226">
        <f t="shared" si="9"/>
        <v>0</v>
      </c>
    </row>
    <row r="227" spans="2:15">
      <c r="B227" s="15">
        <v>40374</v>
      </c>
      <c r="M227">
        <f t="shared" si="8"/>
        <v>0</v>
      </c>
      <c r="N227">
        <f t="shared" si="9"/>
        <v>0</v>
      </c>
      <c r="O227">
        <f t="shared" si="9"/>
        <v>0</v>
      </c>
    </row>
    <row r="228" spans="2:15">
      <c r="B228" s="15">
        <v>40375</v>
      </c>
      <c r="M228">
        <f t="shared" si="8"/>
        <v>0</v>
      </c>
      <c r="N228">
        <f t="shared" si="9"/>
        <v>0</v>
      </c>
      <c r="O228">
        <f t="shared" si="9"/>
        <v>0</v>
      </c>
    </row>
    <row r="229" spans="2:15">
      <c r="B229" s="15">
        <v>40376</v>
      </c>
      <c r="M229">
        <f t="shared" si="8"/>
        <v>0</v>
      </c>
      <c r="N229">
        <f t="shared" si="9"/>
        <v>0</v>
      </c>
      <c r="O229">
        <f t="shared" si="9"/>
        <v>0</v>
      </c>
    </row>
    <row r="230" spans="2:15">
      <c r="B230" s="15">
        <v>40377</v>
      </c>
      <c r="M230">
        <f t="shared" si="8"/>
        <v>0</v>
      </c>
      <c r="N230">
        <f t="shared" si="9"/>
        <v>0</v>
      </c>
      <c r="O230">
        <f t="shared" si="9"/>
        <v>0</v>
      </c>
    </row>
    <row r="231" spans="2:15">
      <c r="B231" s="15">
        <v>40378</v>
      </c>
      <c r="M231">
        <f t="shared" si="8"/>
        <v>0</v>
      </c>
      <c r="N231">
        <f t="shared" si="9"/>
        <v>0</v>
      </c>
      <c r="O231">
        <f t="shared" si="9"/>
        <v>0</v>
      </c>
    </row>
    <row r="232" spans="2:15">
      <c r="B232" s="15">
        <v>40379</v>
      </c>
      <c r="M232">
        <f t="shared" si="8"/>
        <v>0</v>
      </c>
      <c r="N232">
        <f t="shared" si="9"/>
        <v>0</v>
      </c>
      <c r="O232">
        <f t="shared" si="9"/>
        <v>0</v>
      </c>
    </row>
    <row r="233" spans="2:15">
      <c r="B233" s="15">
        <v>40380</v>
      </c>
      <c r="M233">
        <f t="shared" si="8"/>
        <v>0</v>
      </c>
      <c r="N233">
        <f t="shared" si="9"/>
        <v>0</v>
      </c>
      <c r="O233">
        <f t="shared" si="9"/>
        <v>0</v>
      </c>
    </row>
    <row r="234" spans="2:15">
      <c r="B234" s="15">
        <v>40381</v>
      </c>
      <c r="M234">
        <f t="shared" si="8"/>
        <v>0</v>
      </c>
      <c r="N234">
        <f t="shared" si="9"/>
        <v>0</v>
      </c>
      <c r="O234">
        <f t="shared" si="9"/>
        <v>0</v>
      </c>
    </row>
    <row r="235" spans="2:15">
      <c r="B235" s="15">
        <v>40382</v>
      </c>
      <c r="M235">
        <f t="shared" si="8"/>
        <v>0</v>
      </c>
      <c r="N235">
        <f t="shared" si="9"/>
        <v>0</v>
      </c>
      <c r="O235">
        <f t="shared" si="9"/>
        <v>0</v>
      </c>
    </row>
    <row r="236" spans="2:15">
      <c r="B236" s="15">
        <v>40383</v>
      </c>
      <c r="M236">
        <f t="shared" si="8"/>
        <v>0</v>
      </c>
      <c r="N236">
        <f t="shared" si="9"/>
        <v>0</v>
      </c>
      <c r="O236">
        <f t="shared" si="9"/>
        <v>0</v>
      </c>
    </row>
    <row r="237" spans="2:15">
      <c r="B237" s="15">
        <v>40384</v>
      </c>
      <c r="M237">
        <f t="shared" si="8"/>
        <v>0</v>
      </c>
      <c r="N237">
        <f t="shared" si="9"/>
        <v>0</v>
      </c>
      <c r="O237">
        <f t="shared" si="9"/>
        <v>0</v>
      </c>
    </row>
    <row r="238" spans="2:15">
      <c r="B238" s="15">
        <v>40385</v>
      </c>
      <c r="M238">
        <f t="shared" si="8"/>
        <v>0</v>
      </c>
      <c r="N238">
        <f t="shared" si="9"/>
        <v>0</v>
      </c>
      <c r="O238">
        <f t="shared" si="9"/>
        <v>0</v>
      </c>
    </row>
    <row r="239" spans="2:15">
      <c r="B239" s="15">
        <v>40386</v>
      </c>
      <c r="M239">
        <f t="shared" si="8"/>
        <v>0</v>
      </c>
      <c r="N239">
        <f t="shared" si="9"/>
        <v>0</v>
      </c>
      <c r="O239">
        <f t="shared" si="9"/>
        <v>0</v>
      </c>
    </row>
    <row r="240" spans="2:15">
      <c r="B240" s="15">
        <v>40387</v>
      </c>
      <c r="M240">
        <f t="shared" si="8"/>
        <v>0</v>
      </c>
      <c r="N240">
        <f t="shared" si="9"/>
        <v>0</v>
      </c>
      <c r="O240">
        <f t="shared" si="9"/>
        <v>0</v>
      </c>
    </row>
    <row r="241" spans="2:15">
      <c r="B241" s="15">
        <v>40388</v>
      </c>
      <c r="M241">
        <f t="shared" si="8"/>
        <v>0</v>
      </c>
      <c r="N241">
        <f t="shared" si="9"/>
        <v>0</v>
      </c>
      <c r="O241">
        <f t="shared" si="9"/>
        <v>0</v>
      </c>
    </row>
    <row r="242" spans="2:15">
      <c r="B242" s="15">
        <v>40389</v>
      </c>
      <c r="M242">
        <f t="shared" si="8"/>
        <v>0</v>
      </c>
      <c r="N242">
        <f t="shared" si="9"/>
        <v>0</v>
      </c>
      <c r="O242">
        <f t="shared" si="9"/>
        <v>0</v>
      </c>
    </row>
    <row r="243" spans="2:15">
      <c r="B243" s="15">
        <v>40390</v>
      </c>
      <c r="M243">
        <f t="shared" si="8"/>
        <v>0</v>
      </c>
      <c r="N243">
        <f t="shared" si="9"/>
        <v>0</v>
      </c>
      <c r="O243">
        <f t="shared" si="9"/>
        <v>0</v>
      </c>
    </row>
    <row r="244" spans="2:15">
      <c r="B244" s="15">
        <v>40391</v>
      </c>
      <c r="M244">
        <f t="shared" si="8"/>
        <v>0</v>
      </c>
      <c r="N244">
        <f t="shared" si="9"/>
        <v>0</v>
      </c>
      <c r="O244">
        <f t="shared" si="9"/>
        <v>0</v>
      </c>
    </row>
    <row r="245" spans="2:15">
      <c r="B245" s="15">
        <v>40392</v>
      </c>
      <c r="M245">
        <f t="shared" si="8"/>
        <v>0</v>
      </c>
      <c r="N245">
        <f t="shared" si="9"/>
        <v>0</v>
      </c>
      <c r="O245">
        <f t="shared" si="9"/>
        <v>0</v>
      </c>
    </row>
    <row r="246" spans="2:15">
      <c r="B246" s="15">
        <v>40393</v>
      </c>
      <c r="M246">
        <f t="shared" si="8"/>
        <v>0</v>
      </c>
      <c r="N246">
        <f t="shared" si="9"/>
        <v>0</v>
      </c>
      <c r="O246">
        <f t="shared" si="9"/>
        <v>0</v>
      </c>
    </row>
    <row r="247" spans="2:15">
      <c r="B247" s="15">
        <v>40394</v>
      </c>
      <c r="M247">
        <f t="shared" si="8"/>
        <v>0</v>
      </c>
      <c r="N247">
        <f t="shared" si="9"/>
        <v>0</v>
      </c>
      <c r="O247">
        <f t="shared" si="9"/>
        <v>0</v>
      </c>
    </row>
    <row r="248" spans="2:15">
      <c r="B248" s="15">
        <v>40395</v>
      </c>
      <c r="M248">
        <f t="shared" si="8"/>
        <v>0</v>
      </c>
      <c r="N248">
        <f t="shared" si="9"/>
        <v>0</v>
      </c>
      <c r="O248">
        <f t="shared" si="9"/>
        <v>0</v>
      </c>
    </row>
    <row r="249" spans="2:15">
      <c r="B249" s="15">
        <v>40396</v>
      </c>
      <c r="M249">
        <f t="shared" si="8"/>
        <v>0</v>
      </c>
      <c r="N249">
        <f t="shared" si="9"/>
        <v>0</v>
      </c>
      <c r="O249">
        <f t="shared" si="9"/>
        <v>0</v>
      </c>
    </row>
    <row r="250" spans="2:15">
      <c r="B250" s="15">
        <v>40397</v>
      </c>
      <c r="M250">
        <f t="shared" si="8"/>
        <v>0</v>
      </c>
      <c r="N250">
        <f t="shared" si="9"/>
        <v>0</v>
      </c>
      <c r="O250">
        <f t="shared" si="9"/>
        <v>0</v>
      </c>
    </row>
    <row r="251" spans="2:15">
      <c r="B251" s="15">
        <v>40398</v>
      </c>
      <c r="M251">
        <f t="shared" si="8"/>
        <v>0</v>
      </c>
      <c r="N251">
        <f t="shared" si="9"/>
        <v>0</v>
      </c>
      <c r="O251">
        <f t="shared" si="9"/>
        <v>0</v>
      </c>
    </row>
    <row r="252" spans="2:15">
      <c r="B252" s="15">
        <v>40399</v>
      </c>
      <c r="M252">
        <f t="shared" si="8"/>
        <v>0</v>
      </c>
      <c r="N252">
        <f t="shared" si="9"/>
        <v>0</v>
      </c>
      <c r="O252">
        <f t="shared" si="9"/>
        <v>0</v>
      </c>
    </row>
    <row r="253" spans="2:15">
      <c r="B253" s="15">
        <v>40400</v>
      </c>
      <c r="M253">
        <f t="shared" si="8"/>
        <v>0</v>
      </c>
      <c r="N253">
        <f t="shared" si="9"/>
        <v>0</v>
      </c>
      <c r="O253">
        <f t="shared" si="9"/>
        <v>0</v>
      </c>
    </row>
    <row r="254" spans="2:15">
      <c r="B254" s="15">
        <v>40401</v>
      </c>
      <c r="M254">
        <f t="shared" si="8"/>
        <v>0</v>
      </c>
      <c r="N254">
        <f t="shared" si="9"/>
        <v>0</v>
      </c>
      <c r="O254">
        <f t="shared" si="9"/>
        <v>0</v>
      </c>
    </row>
    <row r="255" spans="2:15">
      <c r="B255" s="15">
        <v>40402</v>
      </c>
      <c r="M255">
        <f t="shared" si="8"/>
        <v>0</v>
      </c>
      <c r="N255">
        <f t="shared" si="9"/>
        <v>0</v>
      </c>
      <c r="O255">
        <f t="shared" si="9"/>
        <v>0</v>
      </c>
    </row>
    <row r="256" spans="2:15">
      <c r="B256" s="15">
        <v>40403</v>
      </c>
      <c r="M256">
        <f t="shared" si="8"/>
        <v>0</v>
      </c>
      <c r="N256">
        <f t="shared" si="9"/>
        <v>0</v>
      </c>
      <c r="O256">
        <f t="shared" si="9"/>
        <v>0</v>
      </c>
    </row>
    <row r="257" spans="2:15">
      <c r="B257" s="15">
        <v>40404</v>
      </c>
      <c r="M257">
        <f t="shared" si="8"/>
        <v>0</v>
      </c>
      <c r="N257">
        <f t="shared" si="9"/>
        <v>0</v>
      </c>
      <c r="O257">
        <f t="shared" si="9"/>
        <v>0</v>
      </c>
    </row>
    <row r="258" spans="2:15">
      <c r="B258" s="15">
        <v>40405</v>
      </c>
      <c r="M258">
        <f t="shared" si="8"/>
        <v>0</v>
      </c>
      <c r="N258">
        <f t="shared" si="9"/>
        <v>0</v>
      </c>
      <c r="O258">
        <f t="shared" si="9"/>
        <v>0</v>
      </c>
    </row>
    <row r="259" spans="2:15">
      <c r="B259" s="15">
        <v>40406</v>
      </c>
      <c r="M259">
        <f t="shared" si="8"/>
        <v>0</v>
      </c>
      <c r="N259">
        <f t="shared" si="9"/>
        <v>0</v>
      </c>
      <c r="O259">
        <f t="shared" si="9"/>
        <v>0</v>
      </c>
    </row>
    <row r="260" spans="2:15">
      <c r="B260" s="15">
        <v>40407</v>
      </c>
      <c r="M260">
        <f t="shared" si="8"/>
        <v>0</v>
      </c>
      <c r="N260">
        <f t="shared" si="9"/>
        <v>0</v>
      </c>
      <c r="O260">
        <f t="shared" si="9"/>
        <v>0</v>
      </c>
    </row>
    <row r="261" spans="2:15">
      <c r="B261" s="15">
        <v>40408</v>
      </c>
      <c r="M261">
        <f t="shared" si="8"/>
        <v>0</v>
      </c>
      <c r="N261">
        <f t="shared" si="9"/>
        <v>0</v>
      </c>
      <c r="O261">
        <f t="shared" si="9"/>
        <v>0</v>
      </c>
    </row>
    <row r="262" spans="2:15">
      <c r="B262" s="15">
        <v>40409</v>
      </c>
      <c r="C262">
        <v>279.71428571428601</v>
      </c>
      <c r="D262">
        <v>317</v>
      </c>
      <c r="E262">
        <v>257</v>
      </c>
      <c r="F262" s="3">
        <v>3.51399631683595</v>
      </c>
      <c r="G262">
        <v>96.4860036831641</v>
      </c>
      <c r="H262">
        <v>8.1666666666666696</v>
      </c>
      <c r="M262">
        <f t="shared" si="8"/>
        <v>60</v>
      </c>
      <c r="N262">
        <f t="shared" si="9"/>
        <v>3.5139963168359503E-2</v>
      </c>
      <c r="O262">
        <f t="shared" si="9"/>
        <v>0.96486003683164101</v>
      </c>
    </row>
    <row r="263" spans="2:15">
      <c r="B263" s="15">
        <v>40410</v>
      </c>
      <c r="C263">
        <v>277.07692307692298</v>
      </c>
      <c r="D263">
        <v>292</v>
      </c>
      <c r="E263">
        <v>259</v>
      </c>
      <c r="F263" s="3">
        <v>0.66385032176546499</v>
      </c>
      <c r="G263">
        <v>99.336149678234506</v>
      </c>
      <c r="H263">
        <v>16.1666666666667</v>
      </c>
      <c r="M263">
        <f t="shared" si="8"/>
        <v>33</v>
      </c>
      <c r="N263">
        <f t="shared" si="9"/>
        <v>6.63850321765465E-3</v>
      </c>
      <c r="O263">
        <f t="shared" si="9"/>
        <v>0.99336149678234509</v>
      </c>
    </row>
    <row r="264" spans="2:15">
      <c r="B264" s="15">
        <v>40411</v>
      </c>
      <c r="C264">
        <v>283.230769230769</v>
      </c>
      <c r="D264">
        <v>297</v>
      </c>
      <c r="E264">
        <v>275</v>
      </c>
      <c r="F264" s="3">
        <v>0.17673049236334201</v>
      </c>
      <c r="G264">
        <v>99.823269507636695</v>
      </c>
      <c r="H264">
        <v>42.8333333333333</v>
      </c>
      <c r="M264">
        <f t="shared" si="8"/>
        <v>22</v>
      </c>
      <c r="N264">
        <f t="shared" si="9"/>
        <v>1.7673049236334201E-3</v>
      </c>
      <c r="O264">
        <f t="shared" si="9"/>
        <v>0.99823269507636692</v>
      </c>
    </row>
    <row r="265" spans="2:15">
      <c r="B265" s="15">
        <v>40412</v>
      </c>
      <c r="C265">
        <v>286</v>
      </c>
      <c r="D265">
        <v>302</v>
      </c>
      <c r="E265">
        <v>274</v>
      </c>
      <c r="F265" s="3">
        <v>0.233372235643587</v>
      </c>
      <c r="G265">
        <v>99.7666277643564</v>
      </c>
      <c r="H265">
        <v>21.75</v>
      </c>
      <c r="M265">
        <f t="shared" si="8"/>
        <v>28</v>
      </c>
      <c r="N265">
        <f t="shared" si="9"/>
        <v>2.3337223564358698E-3</v>
      </c>
      <c r="O265">
        <f t="shared" si="9"/>
        <v>0.99766627764356397</v>
      </c>
    </row>
    <row r="266" spans="2:15">
      <c r="B266" s="15">
        <v>40413</v>
      </c>
      <c r="C266">
        <v>282.07692307692298</v>
      </c>
      <c r="D266">
        <v>307</v>
      </c>
      <c r="E266">
        <v>275</v>
      </c>
      <c r="F266" s="3">
        <v>2.95857986295275E-2</v>
      </c>
      <c r="G266">
        <v>99.970414201370502</v>
      </c>
      <c r="H266">
        <v>16.1666666666667</v>
      </c>
      <c r="M266">
        <f t="shared" si="8"/>
        <v>32</v>
      </c>
      <c r="N266">
        <f t="shared" si="9"/>
        <v>2.9585798629527501E-4</v>
      </c>
      <c r="O266">
        <f t="shared" si="9"/>
        <v>0.99970414201370505</v>
      </c>
    </row>
    <row r="267" spans="2:15">
      <c r="B267" s="15">
        <v>40414</v>
      </c>
      <c r="C267">
        <v>278</v>
      </c>
      <c r="D267">
        <v>288</v>
      </c>
      <c r="E267">
        <v>257</v>
      </c>
      <c r="F267" s="3">
        <v>0</v>
      </c>
      <c r="G267">
        <v>100</v>
      </c>
      <c r="H267">
        <v>4.9166666666666696</v>
      </c>
      <c r="M267">
        <f t="shared" ref="M267:M293" si="10">D267-E267</f>
        <v>31</v>
      </c>
      <c r="N267">
        <f t="shared" ref="N267:O292" si="11">F267/100</f>
        <v>0</v>
      </c>
      <c r="O267">
        <f t="shared" si="11"/>
        <v>1</v>
      </c>
    </row>
    <row r="268" spans="2:15">
      <c r="B268" s="15">
        <v>40415</v>
      </c>
      <c r="C268">
        <v>311.92307692307702</v>
      </c>
      <c r="D268">
        <v>422</v>
      </c>
      <c r="E268">
        <v>269</v>
      </c>
      <c r="F268" s="3">
        <v>0.91447011982374304</v>
      </c>
      <c r="G268">
        <v>99.085529880176296</v>
      </c>
      <c r="H268">
        <v>17.4166666666667</v>
      </c>
      <c r="M268">
        <f t="shared" si="10"/>
        <v>153</v>
      </c>
      <c r="N268">
        <f t="shared" si="11"/>
        <v>9.1447011982374298E-3</v>
      </c>
      <c r="O268">
        <f t="shared" si="11"/>
        <v>0.99085529880176293</v>
      </c>
    </row>
    <row r="269" spans="2:15">
      <c r="B269" s="15">
        <v>40416</v>
      </c>
      <c r="C269">
        <v>339.07692307692298</v>
      </c>
      <c r="D269">
        <v>423</v>
      </c>
      <c r="E269">
        <v>322</v>
      </c>
      <c r="F269" s="3">
        <v>0.14785609118995499</v>
      </c>
      <c r="G269">
        <v>99.852143908810007</v>
      </c>
      <c r="H269">
        <v>28.25</v>
      </c>
      <c r="M269">
        <f t="shared" si="10"/>
        <v>101</v>
      </c>
      <c r="N269">
        <f t="shared" si="11"/>
        <v>1.4785609118995499E-3</v>
      </c>
      <c r="O269">
        <f t="shared" si="11"/>
        <v>0.99852143908810009</v>
      </c>
    </row>
    <row r="270" spans="2:15">
      <c r="B270" s="15">
        <v>40417</v>
      </c>
      <c r="C270">
        <v>339.30769230769198</v>
      </c>
      <c r="D270">
        <v>415</v>
      </c>
      <c r="E270">
        <v>331</v>
      </c>
      <c r="F270" s="3">
        <v>2.4582105698192001E-2</v>
      </c>
      <c r="G270">
        <v>99.975417894301799</v>
      </c>
      <c r="H270">
        <v>23.0833333333333</v>
      </c>
      <c r="M270">
        <f t="shared" si="10"/>
        <v>84</v>
      </c>
      <c r="N270">
        <f t="shared" si="11"/>
        <v>2.4582105698192001E-4</v>
      </c>
      <c r="O270">
        <f t="shared" si="11"/>
        <v>0.99975417894301799</v>
      </c>
    </row>
    <row r="271" spans="2:15">
      <c r="B271" s="15">
        <v>40418</v>
      </c>
      <c r="C271">
        <v>337.38461538461502</v>
      </c>
      <c r="D271">
        <v>410</v>
      </c>
      <c r="E271">
        <v>320</v>
      </c>
      <c r="F271" s="3">
        <v>0.17313874723332201</v>
      </c>
      <c r="G271">
        <v>99.826861252766705</v>
      </c>
      <c r="H271">
        <v>14.6666666666667</v>
      </c>
      <c r="M271">
        <f t="shared" si="10"/>
        <v>90</v>
      </c>
      <c r="N271">
        <f t="shared" si="11"/>
        <v>1.7313874723332201E-3</v>
      </c>
      <c r="O271">
        <f t="shared" si="11"/>
        <v>0.99826861252766708</v>
      </c>
    </row>
    <row r="272" spans="2:15">
      <c r="B272" s="15">
        <v>40419</v>
      </c>
      <c r="C272">
        <v>335.61538461538498</v>
      </c>
      <c r="D272">
        <v>411</v>
      </c>
      <c r="E272">
        <v>319</v>
      </c>
      <c r="F272" s="3">
        <v>0.22382491237941399</v>
      </c>
      <c r="G272">
        <v>99.776175087620601</v>
      </c>
      <c r="H272">
        <v>14.3333333333333</v>
      </c>
      <c r="M272">
        <f t="shared" si="10"/>
        <v>92</v>
      </c>
      <c r="N272">
        <f t="shared" si="11"/>
        <v>2.2382491237941398E-3</v>
      </c>
      <c r="O272">
        <f t="shared" si="11"/>
        <v>0.997761750876206</v>
      </c>
    </row>
    <row r="273" spans="2:15">
      <c r="B273" s="15">
        <v>40420</v>
      </c>
      <c r="C273">
        <v>349.538461538462</v>
      </c>
      <c r="D273">
        <v>442</v>
      </c>
      <c r="E273">
        <v>329</v>
      </c>
      <c r="F273" s="3">
        <v>0.26334691307778602</v>
      </c>
      <c r="G273">
        <v>99.736653086922203</v>
      </c>
      <c r="H273">
        <v>14.0833333333333</v>
      </c>
      <c r="M273">
        <f t="shared" si="10"/>
        <v>113</v>
      </c>
      <c r="N273">
        <f t="shared" si="11"/>
        <v>2.6334691307778602E-3</v>
      </c>
      <c r="O273">
        <f t="shared" si="11"/>
        <v>0.997366530869222</v>
      </c>
    </row>
    <row r="274" spans="2:15">
      <c r="B274" s="15">
        <v>40421</v>
      </c>
      <c r="C274">
        <v>360.07692307692298</v>
      </c>
      <c r="D274">
        <v>426</v>
      </c>
      <c r="E274">
        <v>344</v>
      </c>
      <c r="F274" s="3">
        <v>0.11576753602520801</v>
      </c>
      <c r="G274">
        <v>99.884232463974797</v>
      </c>
      <c r="H274">
        <v>13.9166666666667</v>
      </c>
      <c r="M274">
        <f t="shared" si="10"/>
        <v>82</v>
      </c>
      <c r="N274">
        <f t="shared" si="11"/>
        <v>1.1576753602520801E-3</v>
      </c>
      <c r="O274">
        <f t="shared" si="11"/>
        <v>0.99884232463974798</v>
      </c>
    </row>
    <row r="275" spans="2:15">
      <c r="B275" s="15">
        <v>40422</v>
      </c>
      <c r="C275">
        <v>360.07692307692298</v>
      </c>
      <c r="D275">
        <v>422</v>
      </c>
      <c r="E275">
        <v>342</v>
      </c>
      <c r="F275" s="3">
        <v>0.74453236264713596</v>
      </c>
      <c r="G275">
        <v>99.255467637352893</v>
      </c>
      <c r="H275">
        <v>12.75</v>
      </c>
      <c r="M275">
        <f t="shared" si="10"/>
        <v>80</v>
      </c>
      <c r="N275">
        <f t="shared" si="11"/>
        <v>7.4453236264713594E-3</v>
      </c>
      <c r="O275">
        <f t="shared" si="11"/>
        <v>0.9925546763735289</v>
      </c>
    </row>
    <row r="276" spans="2:15">
      <c r="B276" s="15">
        <v>40423</v>
      </c>
      <c r="C276">
        <v>426.69230769230802</v>
      </c>
      <c r="D276">
        <v>526</v>
      </c>
      <c r="E276">
        <v>376</v>
      </c>
      <c r="F276" s="3">
        <v>0.31403337537467602</v>
      </c>
      <c r="G276">
        <v>99.685966624625294</v>
      </c>
      <c r="H276">
        <v>22.9166666666667</v>
      </c>
      <c r="M276">
        <f t="shared" si="10"/>
        <v>150</v>
      </c>
      <c r="N276">
        <f t="shared" si="11"/>
        <v>3.1403337537467602E-3</v>
      </c>
      <c r="O276">
        <f t="shared" si="11"/>
        <v>0.996859666246253</v>
      </c>
    </row>
    <row r="277" spans="2:15">
      <c r="B277" s="15">
        <v>40424</v>
      </c>
      <c r="C277">
        <v>421.84615384615398</v>
      </c>
      <c r="D277">
        <v>443</v>
      </c>
      <c r="E277">
        <v>404</v>
      </c>
      <c r="F277" s="3">
        <v>0.92922103223625097</v>
      </c>
      <c r="G277">
        <v>99.070778967763701</v>
      </c>
      <c r="H277">
        <v>38.4166666666667</v>
      </c>
      <c r="M277">
        <f t="shared" si="10"/>
        <v>39</v>
      </c>
      <c r="N277">
        <f t="shared" si="11"/>
        <v>9.2922103223625103E-3</v>
      </c>
      <c r="O277">
        <f t="shared" si="11"/>
        <v>0.99070778967763706</v>
      </c>
    </row>
    <row r="278" spans="2:15">
      <c r="B278" s="15">
        <v>40425</v>
      </c>
      <c r="C278">
        <v>419.769230769231</v>
      </c>
      <c r="D278">
        <v>431</v>
      </c>
      <c r="E278">
        <v>409</v>
      </c>
      <c r="F278" s="3">
        <v>0.33756949016625298</v>
      </c>
      <c r="G278">
        <v>99.662430509833698</v>
      </c>
      <c r="H278">
        <v>30.9166666666667</v>
      </c>
      <c r="M278">
        <f t="shared" si="10"/>
        <v>22</v>
      </c>
      <c r="N278">
        <f t="shared" si="11"/>
        <v>3.3756949016625296E-3</v>
      </c>
      <c r="O278">
        <f t="shared" si="11"/>
        <v>0.99662430509833699</v>
      </c>
    </row>
    <row r="279" spans="2:15">
      <c r="B279" s="15">
        <v>40426</v>
      </c>
      <c r="C279">
        <v>420.230769230769</v>
      </c>
      <c r="D279">
        <v>428</v>
      </c>
      <c r="E279">
        <v>412</v>
      </c>
      <c r="F279" s="3">
        <v>0.297619047619048</v>
      </c>
      <c r="G279">
        <v>99.702380952380906</v>
      </c>
      <c r="H279">
        <v>39</v>
      </c>
      <c r="M279">
        <f t="shared" si="10"/>
        <v>16</v>
      </c>
      <c r="N279">
        <f t="shared" si="11"/>
        <v>2.9761904761904799E-3</v>
      </c>
      <c r="O279">
        <f t="shared" si="11"/>
        <v>0.99702380952380909</v>
      </c>
    </row>
    <row r="280" spans="2:15">
      <c r="B280" s="15">
        <v>40427</v>
      </c>
      <c r="C280">
        <v>413.461538461538</v>
      </c>
      <c r="D280">
        <v>431</v>
      </c>
      <c r="E280">
        <v>401</v>
      </c>
      <c r="F280" s="3">
        <v>0.22137251978508601</v>
      </c>
      <c r="G280">
        <v>99.778627480214894</v>
      </c>
      <c r="H280">
        <v>45.8333333333333</v>
      </c>
      <c r="M280">
        <f t="shared" si="10"/>
        <v>30</v>
      </c>
      <c r="N280">
        <f t="shared" si="11"/>
        <v>2.21372519785086E-3</v>
      </c>
      <c r="O280">
        <f t="shared" si="11"/>
        <v>0.99778627480214899</v>
      </c>
    </row>
    <row r="281" spans="2:15">
      <c r="B281" s="15">
        <v>40428</v>
      </c>
      <c r="C281">
        <v>496.07692307692298</v>
      </c>
      <c r="D281">
        <v>1526</v>
      </c>
      <c r="E281">
        <v>348</v>
      </c>
      <c r="F281" s="3">
        <v>7.0590206981103396</v>
      </c>
      <c r="G281">
        <v>92.940979301889698</v>
      </c>
      <c r="H281">
        <v>44.6666666666667</v>
      </c>
      <c r="M281">
        <f t="shared" si="10"/>
        <v>1178</v>
      </c>
      <c r="N281">
        <f t="shared" si="11"/>
        <v>7.0590206981103396E-2</v>
      </c>
      <c r="O281">
        <f t="shared" si="11"/>
        <v>0.92940979301889692</v>
      </c>
    </row>
    <row r="282" spans="2:15">
      <c r="B282" s="15">
        <v>40429</v>
      </c>
      <c r="C282">
        <v>377.55</v>
      </c>
      <c r="D282">
        <v>541</v>
      </c>
      <c r="E282">
        <v>341</v>
      </c>
      <c r="F282" s="3">
        <v>1.0772243364425</v>
      </c>
      <c r="G282">
        <v>98.922775663557502</v>
      </c>
      <c r="H282">
        <v>41.631578947368403</v>
      </c>
      <c r="M282">
        <f t="shared" si="10"/>
        <v>200</v>
      </c>
      <c r="N282">
        <f t="shared" si="11"/>
        <v>1.0772243364425E-2</v>
      </c>
      <c r="O282">
        <f t="shared" si="11"/>
        <v>0.98922775663557505</v>
      </c>
    </row>
    <row r="283" spans="2:15">
      <c r="B283" s="15">
        <v>40430</v>
      </c>
      <c r="C283">
        <v>400.54166666666703</v>
      </c>
      <c r="D283">
        <v>787</v>
      </c>
      <c r="E283">
        <v>339</v>
      </c>
      <c r="F283" s="3">
        <v>1.07896794370602</v>
      </c>
      <c r="G283">
        <v>98.921032056293996</v>
      </c>
      <c r="H283">
        <v>45.9791666666667</v>
      </c>
      <c r="M283">
        <f t="shared" si="10"/>
        <v>448</v>
      </c>
      <c r="N283">
        <f t="shared" si="11"/>
        <v>1.07896794370602E-2</v>
      </c>
      <c r="O283">
        <f t="shared" si="11"/>
        <v>0.98921032056294</v>
      </c>
    </row>
    <row r="284" spans="2:15">
      <c r="B284" s="15">
        <v>40431</v>
      </c>
      <c r="C284">
        <v>402.625</v>
      </c>
      <c r="D284">
        <v>682</v>
      </c>
      <c r="E284">
        <v>353</v>
      </c>
      <c r="F284" s="3">
        <v>0.50893742615664495</v>
      </c>
      <c r="G284">
        <v>99.491062573843394</v>
      </c>
      <c r="H284">
        <v>41.975000000000001</v>
      </c>
      <c r="M284">
        <f t="shared" si="10"/>
        <v>329</v>
      </c>
      <c r="N284">
        <f t="shared" si="11"/>
        <v>5.0893742615664497E-3</v>
      </c>
      <c r="O284">
        <f t="shared" si="11"/>
        <v>0.99491062573843392</v>
      </c>
    </row>
    <row r="285" spans="2:15">
      <c r="B285" s="15">
        <v>40432</v>
      </c>
      <c r="M285">
        <f t="shared" si="10"/>
        <v>0</v>
      </c>
      <c r="N285">
        <f t="shared" si="11"/>
        <v>0</v>
      </c>
      <c r="O285">
        <f t="shared" si="11"/>
        <v>0</v>
      </c>
    </row>
    <row r="286" spans="2:15">
      <c r="B286" s="15">
        <v>40433</v>
      </c>
      <c r="M286">
        <f t="shared" si="10"/>
        <v>0</v>
      </c>
      <c r="N286">
        <f t="shared" si="11"/>
        <v>0</v>
      </c>
      <c r="O286">
        <f t="shared" si="11"/>
        <v>0</v>
      </c>
    </row>
    <row r="287" spans="2:15">
      <c r="B287" s="15">
        <v>40434</v>
      </c>
      <c r="C287">
        <v>328.92</v>
      </c>
      <c r="D287">
        <v>371</v>
      </c>
      <c r="E287">
        <v>301</v>
      </c>
      <c r="F287" s="3">
        <v>0.19035532405159</v>
      </c>
      <c r="G287">
        <v>99.809644675948405</v>
      </c>
      <c r="H287">
        <v>4.5</v>
      </c>
      <c r="M287">
        <f t="shared" si="10"/>
        <v>70</v>
      </c>
      <c r="N287">
        <f t="shared" si="11"/>
        <v>1.9035532405159001E-3</v>
      </c>
      <c r="O287">
        <f t="shared" si="11"/>
        <v>0.99809644675948406</v>
      </c>
    </row>
    <row r="288" spans="2:15">
      <c r="B288" s="15">
        <v>40435</v>
      </c>
      <c r="C288">
        <v>389.97916666666703</v>
      </c>
      <c r="D288">
        <v>1239</v>
      </c>
      <c r="E288">
        <v>290</v>
      </c>
      <c r="F288" s="3">
        <v>0.97336615561860296</v>
      </c>
      <c r="G288">
        <v>99.026633844381394</v>
      </c>
      <c r="H288">
        <v>5.8541666666666696</v>
      </c>
      <c r="M288">
        <f t="shared" si="10"/>
        <v>949</v>
      </c>
      <c r="N288">
        <f t="shared" si="11"/>
        <v>9.7336615561860289E-3</v>
      </c>
      <c r="O288">
        <f t="shared" si="11"/>
        <v>0.99026633844381395</v>
      </c>
    </row>
    <row r="289" spans="2:15">
      <c r="B289" s="15">
        <v>40436</v>
      </c>
      <c r="C289">
        <v>466.72916666666703</v>
      </c>
      <c r="D289">
        <v>2540</v>
      </c>
      <c r="E289">
        <v>353</v>
      </c>
      <c r="F289" s="3">
        <v>4.3377260254911398</v>
      </c>
      <c r="G289">
        <v>95.662273974508906</v>
      </c>
      <c r="H289">
        <v>5.0833333333333304</v>
      </c>
      <c r="M289">
        <f t="shared" si="10"/>
        <v>2187</v>
      </c>
      <c r="N289">
        <f t="shared" si="11"/>
        <v>4.3377260254911398E-2</v>
      </c>
      <c r="O289">
        <f t="shared" si="11"/>
        <v>0.95662273974508905</v>
      </c>
    </row>
    <row r="290" spans="2:15">
      <c r="B290" s="15">
        <v>40437</v>
      </c>
      <c r="C290">
        <v>410.20833333333297</v>
      </c>
      <c r="D290">
        <v>685</v>
      </c>
      <c r="E290">
        <v>366</v>
      </c>
      <c r="F290" s="3">
        <v>0.26937737948212698</v>
      </c>
      <c r="G290">
        <v>99.730622620517906</v>
      </c>
      <c r="H290">
        <v>8.5208333333333304</v>
      </c>
      <c r="M290">
        <f t="shared" si="10"/>
        <v>319</v>
      </c>
      <c r="N290">
        <f t="shared" si="11"/>
        <v>2.6937737948212696E-3</v>
      </c>
      <c r="O290">
        <f t="shared" si="11"/>
        <v>0.99730622620517906</v>
      </c>
    </row>
    <row r="291" spans="2:15">
      <c r="B291" s="15">
        <v>40438</v>
      </c>
      <c r="C291">
        <v>407.04166666666703</v>
      </c>
      <c r="D291">
        <v>750</v>
      </c>
      <c r="E291">
        <v>356</v>
      </c>
      <c r="F291" s="3">
        <v>0.61478557814497303</v>
      </c>
      <c r="G291">
        <v>99.385214421854997</v>
      </c>
      <c r="H291">
        <v>5.5</v>
      </c>
      <c r="M291">
        <f t="shared" si="10"/>
        <v>394</v>
      </c>
      <c r="N291">
        <f t="shared" si="11"/>
        <v>6.1478557814497303E-3</v>
      </c>
      <c r="O291">
        <f t="shared" si="11"/>
        <v>0.99385214421854995</v>
      </c>
    </row>
    <row r="292" spans="2:15">
      <c r="B292" s="15">
        <v>40439</v>
      </c>
      <c r="C292">
        <v>405.22916666666703</v>
      </c>
      <c r="D292">
        <v>697</v>
      </c>
      <c r="E292">
        <v>356</v>
      </c>
      <c r="F292" s="3">
        <v>0.62805663178407201</v>
      </c>
      <c r="G292">
        <v>99.371943368215895</v>
      </c>
      <c r="H292">
        <v>5.0208333333333304</v>
      </c>
      <c r="M292">
        <f t="shared" si="10"/>
        <v>341</v>
      </c>
      <c r="N292">
        <f t="shared" si="11"/>
        <v>6.2805663178407203E-3</v>
      </c>
      <c r="O292">
        <f t="shared" si="11"/>
        <v>0.99371943368215898</v>
      </c>
    </row>
    <row r="293" spans="2:15">
      <c r="B293" s="15">
        <v>40440</v>
      </c>
      <c r="C293">
        <v>403.8</v>
      </c>
      <c r="D293">
        <v>428</v>
      </c>
      <c r="E293">
        <v>366</v>
      </c>
      <c r="F293" s="3">
        <v>0</v>
      </c>
      <c r="G293">
        <v>100</v>
      </c>
      <c r="H293">
        <v>4.8</v>
      </c>
      <c r="M293">
        <f t="shared" si="10"/>
        <v>62</v>
      </c>
    </row>
    <row r="301" spans="2:15">
      <c r="B301" t="s">
        <v>4</v>
      </c>
      <c r="C301" t="s">
        <v>25</v>
      </c>
      <c r="D301" t="s">
        <v>26</v>
      </c>
      <c r="E301" t="s">
        <v>27</v>
      </c>
      <c r="F301" s="3" t="s">
        <v>28</v>
      </c>
      <c r="G301" t="s">
        <v>29</v>
      </c>
      <c r="M301" t="str">
        <f>D301</f>
        <v xml:space="preserve"> Network Usage Max (Mbps)</v>
      </c>
      <c r="N301" s="3" t="str">
        <f>F301</f>
        <v xml:space="preserve"> Receive Ratio(%)</v>
      </c>
      <c r="O301" s="3" t="str">
        <f>G301</f>
        <v xml:space="preserve"> Transmit Ratio(%)</v>
      </c>
    </row>
    <row r="302" spans="2:15">
      <c r="B302" s="15">
        <v>40349</v>
      </c>
      <c r="M302">
        <f>D302-C302</f>
        <v>0</v>
      </c>
      <c r="N302">
        <f>F302/100</f>
        <v>0</v>
      </c>
      <c r="O302">
        <f>G302/100</f>
        <v>0</v>
      </c>
    </row>
    <row r="303" spans="2:15">
      <c r="B303" s="15">
        <v>40350</v>
      </c>
      <c r="M303">
        <f t="shared" ref="M303:M366" si="12">D303-C303</f>
        <v>0</v>
      </c>
      <c r="N303">
        <f t="shared" ref="N303:O366" si="13">F303/100</f>
        <v>0</v>
      </c>
      <c r="O303">
        <f t="shared" si="13"/>
        <v>0</v>
      </c>
    </row>
    <row r="304" spans="2:15">
      <c r="B304" s="15">
        <v>40351</v>
      </c>
      <c r="M304">
        <f t="shared" si="12"/>
        <v>0</v>
      </c>
      <c r="N304">
        <f t="shared" si="13"/>
        <v>0</v>
      </c>
      <c r="O304">
        <f t="shared" si="13"/>
        <v>0</v>
      </c>
    </row>
    <row r="305" spans="2:15">
      <c r="B305" s="15">
        <v>40352</v>
      </c>
      <c r="M305">
        <f t="shared" si="12"/>
        <v>0</v>
      </c>
      <c r="N305">
        <f t="shared" si="13"/>
        <v>0</v>
      </c>
      <c r="O305">
        <f t="shared" si="13"/>
        <v>0</v>
      </c>
    </row>
    <row r="306" spans="2:15">
      <c r="B306" s="15">
        <v>40353</v>
      </c>
      <c r="M306">
        <f t="shared" si="12"/>
        <v>0</v>
      </c>
      <c r="N306">
        <f t="shared" si="13"/>
        <v>0</v>
      </c>
      <c r="O306">
        <f t="shared" si="13"/>
        <v>0</v>
      </c>
    </row>
    <row r="307" spans="2:15">
      <c r="B307" s="15">
        <v>40354</v>
      </c>
      <c r="M307">
        <f t="shared" si="12"/>
        <v>0</v>
      </c>
      <c r="N307">
        <f t="shared" si="13"/>
        <v>0</v>
      </c>
      <c r="O307">
        <f t="shared" si="13"/>
        <v>0</v>
      </c>
    </row>
    <row r="308" spans="2:15">
      <c r="B308" s="15">
        <v>40355</v>
      </c>
      <c r="M308">
        <f t="shared" si="12"/>
        <v>0</v>
      </c>
      <c r="N308">
        <f t="shared" si="13"/>
        <v>0</v>
      </c>
      <c r="O308">
        <f t="shared" si="13"/>
        <v>0</v>
      </c>
    </row>
    <row r="309" spans="2:15">
      <c r="B309" s="15">
        <v>40356</v>
      </c>
      <c r="M309">
        <f t="shared" si="12"/>
        <v>0</v>
      </c>
      <c r="N309">
        <f t="shared" si="13"/>
        <v>0</v>
      </c>
      <c r="O309">
        <f t="shared" si="13"/>
        <v>0</v>
      </c>
    </row>
    <row r="310" spans="2:15">
      <c r="B310" s="15">
        <v>40357</v>
      </c>
      <c r="M310">
        <f t="shared" si="12"/>
        <v>0</v>
      </c>
      <c r="N310">
        <f t="shared" si="13"/>
        <v>0</v>
      </c>
      <c r="O310">
        <f t="shared" si="13"/>
        <v>0</v>
      </c>
    </row>
    <row r="311" spans="2:15">
      <c r="B311" s="15">
        <v>40358</v>
      </c>
      <c r="M311">
        <f t="shared" si="12"/>
        <v>0</v>
      </c>
      <c r="N311">
        <f t="shared" si="13"/>
        <v>0</v>
      </c>
      <c r="O311">
        <f t="shared" si="13"/>
        <v>0</v>
      </c>
    </row>
    <row r="312" spans="2:15">
      <c r="B312" s="15">
        <v>40359</v>
      </c>
      <c r="M312">
        <f t="shared" si="12"/>
        <v>0</v>
      </c>
      <c r="N312">
        <f t="shared" si="13"/>
        <v>0</v>
      </c>
      <c r="O312">
        <f t="shared" si="13"/>
        <v>0</v>
      </c>
    </row>
    <row r="313" spans="2:15">
      <c r="B313" s="15">
        <v>40360</v>
      </c>
      <c r="M313">
        <f t="shared" si="12"/>
        <v>0</v>
      </c>
      <c r="N313">
        <f t="shared" si="13"/>
        <v>0</v>
      </c>
      <c r="O313">
        <f t="shared" si="13"/>
        <v>0</v>
      </c>
    </row>
    <row r="314" spans="2:15">
      <c r="B314" s="15">
        <v>40361</v>
      </c>
      <c r="M314">
        <f t="shared" si="12"/>
        <v>0</v>
      </c>
      <c r="N314">
        <f t="shared" si="13"/>
        <v>0</v>
      </c>
      <c r="O314">
        <f t="shared" si="13"/>
        <v>0</v>
      </c>
    </row>
    <row r="315" spans="2:15">
      <c r="B315" s="15">
        <v>40362</v>
      </c>
      <c r="M315">
        <f t="shared" si="12"/>
        <v>0</v>
      </c>
      <c r="N315">
        <f t="shared" si="13"/>
        <v>0</v>
      </c>
      <c r="O315">
        <f t="shared" si="13"/>
        <v>0</v>
      </c>
    </row>
    <row r="316" spans="2:15">
      <c r="B316" s="15">
        <v>40363</v>
      </c>
      <c r="M316">
        <f t="shared" si="12"/>
        <v>0</v>
      </c>
      <c r="N316">
        <f t="shared" si="13"/>
        <v>0</v>
      </c>
      <c r="O316">
        <f t="shared" si="13"/>
        <v>0</v>
      </c>
    </row>
    <row r="317" spans="2:15">
      <c r="B317" s="15">
        <v>40364</v>
      </c>
      <c r="M317">
        <f t="shared" si="12"/>
        <v>0</v>
      </c>
      <c r="N317">
        <f t="shared" si="13"/>
        <v>0</v>
      </c>
      <c r="O317">
        <f t="shared" si="13"/>
        <v>0</v>
      </c>
    </row>
    <row r="318" spans="2:15">
      <c r="B318" s="15">
        <v>40365</v>
      </c>
      <c r="M318">
        <f t="shared" si="12"/>
        <v>0</v>
      </c>
      <c r="N318">
        <f t="shared" si="13"/>
        <v>0</v>
      </c>
      <c r="O318">
        <f t="shared" si="13"/>
        <v>0</v>
      </c>
    </row>
    <row r="319" spans="2:15">
      <c r="B319" s="15">
        <v>40366</v>
      </c>
      <c r="M319">
        <f t="shared" si="12"/>
        <v>0</v>
      </c>
      <c r="N319">
        <f t="shared" si="13"/>
        <v>0</v>
      </c>
      <c r="O319">
        <f t="shared" si="13"/>
        <v>0</v>
      </c>
    </row>
    <row r="320" spans="2:15">
      <c r="B320" s="15">
        <v>40367</v>
      </c>
      <c r="M320">
        <f t="shared" si="12"/>
        <v>0</v>
      </c>
      <c r="N320">
        <f t="shared" si="13"/>
        <v>0</v>
      </c>
      <c r="O320">
        <f t="shared" si="13"/>
        <v>0</v>
      </c>
    </row>
    <row r="321" spans="2:15">
      <c r="B321" s="15">
        <v>40368</v>
      </c>
      <c r="M321">
        <f t="shared" si="12"/>
        <v>0</v>
      </c>
      <c r="N321">
        <f t="shared" si="13"/>
        <v>0</v>
      </c>
      <c r="O321">
        <f t="shared" si="13"/>
        <v>0</v>
      </c>
    </row>
    <row r="322" spans="2:15">
      <c r="B322" s="15">
        <v>40369</v>
      </c>
      <c r="M322">
        <f t="shared" si="12"/>
        <v>0</v>
      </c>
      <c r="N322">
        <f t="shared" si="13"/>
        <v>0</v>
      </c>
      <c r="O322">
        <f t="shared" si="13"/>
        <v>0</v>
      </c>
    </row>
    <row r="323" spans="2:15">
      <c r="B323" s="15">
        <v>40370</v>
      </c>
      <c r="M323">
        <f t="shared" si="12"/>
        <v>0</v>
      </c>
      <c r="N323">
        <f t="shared" si="13"/>
        <v>0</v>
      </c>
      <c r="O323">
        <f t="shared" si="13"/>
        <v>0</v>
      </c>
    </row>
    <row r="324" spans="2:15">
      <c r="B324" s="15">
        <v>40371</v>
      </c>
      <c r="M324">
        <f t="shared" si="12"/>
        <v>0</v>
      </c>
      <c r="N324">
        <f t="shared" si="13"/>
        <v>0</v>
      </c>
      <c r="O324">
        <f t="shared" si="13"/>
        <v>0</v>
      </c>
    </row>
    <row r="325" spans="2:15">
      <c r="B325" s="15">
        <v>40372</v>
      </c>
      <c r="M325">
        <f t="shared" si="12"/>
        <v>0</v>
      </c>
      <c r="N325">
        <f t="shared" si="13"/>
        <v>0</v>
      </c>
      <c r="O325">
        <f t="shared" si="13"/>
        <v>0</v>
      </c>
    </row>
    <row r="326" spans="2:15">
      <c r="B326" s="15">
        <v>40373</v>
      </c>
      <c r="M326">
        <f t="shared" si="12"/>
        <v>0</v>
      </c>
      <c r="N326">
        <f t="shared" si="13"/>
        <v>0</v>
      </c>
      <c r="O326">
        <f t="shared" si="13"/>
        <v>0</v>
      </c>
    </row>
    <row r="327" spans="2:15">
      <c r="B327" s="15">
        <v>40374</v>
      </c>
      <c r="M327">
        <f t="shared" si="12"/>
        <v>0</v>
      </c>
      <c r="N327">
        <f t="shared" si="13"/>
        <v>0</v>
      </c>
      <c r="O327">
        <f t="shared" si="13"/>
        <v>0</v>
      </c>
    </row>
    <row r="328" spans="2:15">
      <c r="B328" s="15">
        <v>40375</v>
      </c>
      <c r="M328">
        <f t="shared" si="12"/>
        <v>0</v>
      </c>
      <c r="N328">
        <f t="shared" si="13"/>
        <v>0</v>
      </c>
      <c r="O328">
        <f t="shared" si="13"/>
        <v>0</v>
      </c>
    </row>
    <row r="329" spans="2:15">
      <c r="B329" s="15">
        <v>40376</v>
      </c>
      <c r="M329">
        <f t="shared" si="12"/>
        <v>0</v>
      </c>
      <c r="N329">
        <f t="shared" si="13"/>
        <v>0</v>
      </c>
      <c r="O329">
        <f t="shared" si="13"/>
        <v>0</v>
      </c>
    </row>
    <row r="330" spans="2:15">
      <c r="B330" s="15">
        <v>40377</v>
      </c>
      <c r="M330">
        <f t="shared" si="12"/>
        <v>0</v>
      </c>
      <c r="N330">
        <f t="shared" si="13"/>
        <v>0</v>
      </c>
      <c r="O330">
        <f t="shared" si="13"/>
        <v>0</v>
      </c>
    </row>
    <row r="331" spans="2:15">
      <c r="B331" s="15">
        <v>40378</v>
      </c>
      <c r="M331">
        <f t="shared" si="12"/>
        <v>0</v>
      </c>
      <c r="N331">
        <f t="shared" si="13"/>
        <v>0</v>
      </c>
      <c r="O331">
        <f t="shared" si="13"/>
        <v>0</v>
      </c>
    </row>
    <row r="332" spans="2:15">
      <c r="B332" s="15">
        <v>40379</v>
      </c>
      <c r="M332">
        <f t="shared" si="12"/>
        <v>0</v>
      </c>
      <c r="N332">
        <f t="shared" si="13"/>
        <v>0</v>
      </c>
      <c r="O332">
        <f t="shared" si="13"/>
        <v>0</v>
      </c>
    </row>
    <row r="333" spans="2:15">
      <c r="B333" s="15">
        <v>40380</v>
      </c>
      <c r="M333">
        <f t="shared" si="12"/>
        <v>0</v>
      </c>
      <c r="N333">
        <f t="shared" si="13"/>
        <v>0</v>
      </c>
      <c r="O333">
        <f t="shared" si="13"/>
        <v>0</v>
      </c>
    </row>
    <row r="334" spans="2:15">
      <c r="B334" s="15">
        <v>40381</v>
      </c>
      <c r="M334">
        <f t="shared" si="12"/>
        <v>0</v>
      </c>
      <c r="N334">
        <f t="shared" si="13"/>
        <v>0</v>
      </c>
      <c r="O334">
        <f t="shared" si="13"/>
        <v>0</v>
      </c>
    </row>
    <row r="335" spans="2:15">
      <c r="B335" s="15">
        <v>40382</v>
      </c>
      <c r="M335">
        <f t="shared" si="12"/>
        <v>0</v>
      </c>
      <c r="N335">
        <f t="shared" si="13"/>
        <v>0</v>
      </c>
      <c r="O335">
        <f t="shared" si="13"/>
        <v>0</v>
      </c>
    </row>
    <row r="336" spans="2:15">
      <c r="B336" s="15">
        <v>40383</v>
      </c>
      <c r="M336">
        <f t="shared" si="12"/>
        <v>0</v>
      </c>
      <c r="N336">
        <f t="shared" si="13"/>
        <v>0</v>
      </c>
      <c r="O336">
        <f t="shared" si="13"/>
        <v>0</v>
      </c>
    </row>
    <row r="337" spans="2:15">
      <c r="B337" s="15">
        <v>40384</v>
      </c>
      <c r="M337">
        <f t="shared" si="12"/>
        <v>0</v>
      </c>
      <c r="N337">
        <f t="shared" si="13"/>
        <v>0</v>
      </c>
      <c r="O337">
        <f t="shared" si="13"/>
        <v>0</v>
      </c>
    </row>
    <row r="338" spans="2:15">
      <c r="B338" s="15">
        <v>40385</v>
      </c>
      <c r="M338">
        <f t="shared" si="12"/>
        <v>0</v>
      </c>
      <c r="N338">
        <f t="shared" si="13"/>
        <v>0</v>
      </c>
      <c r="O338">
        <f t="shared" si="13"/>
        <v>0</v>
      </c>
    </row>
    <row r="339" spans="2:15">
      <c r="B339" s="15">
        <v>40386</v>
      </c>
      <c r="M339">
        <f t="shared" si="12"/>
        <v>0</v>
      </c>
      <c r="N339">
        <f t="shared" si="13"/>
        <v>0</v>
      </c>
      <c r="O339">
        <f t="shared" si="13"/>
        <v>0</v>
      </c>
    </row>
    <row r="340" spans="2:15">
      <c r="B340" s="15">
        <v>40387</v>
      </c>
      <c r="M340">
        <f t="shared" si="12"/>
        <v>0</v>
      </c>
      <c r="N340">
        <f t="shared" si="13"/>
        <v>0</v>
      </c>
      <c r="O340">
        <f t="shared" si="13"/>
        <v>0</v>
      </c>
    </row>
    <row r="341" spans="2:15">
      <c r="B341" s="15">
        <v>40388</v>
      </c>
      <c r="M341">
        <f t="shared" si="12"/>
        <v>0</v>
      </c>
      <c r="N341">
        <f t="shared" si="13"/>
        <v>0</v>
      </c>
      <c r="O341">
        <f t="shared" si="13"/>
        <v>0</v>
      </c>
    </row>
    <row r="342" spans="2:15">
      <c r="B342" s="15">
        <v>40389</v>
      </c>
      <c r="M342">
        <f t="shared" si="12"/>
        <v>0</v>
      </c>
      <c r="N342">
        <f t="shared" si="13"/>
        <v>0</v>
      </c>
      <c r="O342">
        <f t="shared" si="13"/>
        <v>0</v>
      </c>
    </row>
    <row r="343" spans="2:15">
      <c r="B343" s="15">
        <v>40390</v>
      </c>
      <c r="M343">
        <f t="shared" si="12"/>
        <v>0</v>
      </c>
      <c r="N343">
        <f t="shared" si="13"/>
        <v>0</v>
      </c>
      <c r="O343">
        <f t="shared" si="13"/>
        <v>0</v>
      </c>
    </row>
    <row r="344" spans="2:15">
      <c r="B344" s="15">
        <v>40391</v>
      </c>
      <c r="M344">
        <f t="shared" si="12"/>
        <v>0</v>
      </c>
      <c r="N344">
        <f t="shared" si="13"/>
        <v>0</v>
      </c>
      <c r="O344">
        <f t="shared" si="13"/>
        <v>0</v>
      </c>
    </row>
    <row r="345" spans="2:15">
      <c r="B345" s="15">
        <v>40392</v>
      </c>
      <c r="M345">
        <f t="shared" si="12"/>
        <v>0</v>
      </c>
      <c r="N345">
        <f t="shared" si="13"/>
        <v>0</v>
      </c>
      <c r="O345">
        <f t="shared" si="13"/>
        <v>0</v>
      </c>
    </row>
    <row r="346" spans="2:15">
      <c r="B346" s="15">
        <v>40393</v>
      </c>
      <c r="M346">
        <f t="shared" si="12"/>
        <v>0</v>
      </c>
      <c r="N346">
        <f t="shared" si="13"/>
        <v>0</v>
      </c>
      <c r="O346">
        <f t="shared" si="13"/>
        <v>0</v>
      </c>
    </row>
    <row r="347" spans="2:15">
      <c r="B347" s="15">
        <v>40394</v>
      </c>
      <c r="M347">
        <f t="shared" si="12"/>
        <v>0</v>
      </c>
      <c r="N347">
        <f t="shared" si="13"/>
        <v>0</v>
      </c>
      <c r="O347">
        <f t="shared" si="13"/>
        <v>0</v>
      </c>
    </row>
    <row r="348" spans="2:15">
      <c r="B348" s="15">
        <v>40395</v>
      </c>
      <c r="M348">
        <f t="shared" si="12"/>
        <v>0</v>
      </c>
      <c r="N348">
        <f t="shared" si="13"/>
        <v>0</v>
      </c>
      <c r="O348">
        <f t="shared" si="13"/>
        <v>0</v>
      </c>
    </row>
    <row r="349" spans="2:15">
      <c r="B349" s="15">
        <v>40396</v>
      </c>
      <c r="M349">
        <f t="shared" si="12"/>
        <v>0</v>
      </c>
      <c r="N349">
        <f t="shared" si="13"/>
        <v>0</v>
      </c>
      <c r="O349">
        <f t="shared" si="13"/>
        <v>0</v>
      </c>
    </row>
    <row r="350" spans="2:15">
      <c r="B350" s="15">
        <v>40397</v>
      </c>
      <c r="M350">
        <f t="shared" si="12"/>
        <v>0</v>
      </c>
      <c r="N350">
        <f t="shared" si="13"/>
        <v>0</v>
      </c>
      <c r="O350">
        <f t="shared" si="13"/>
        <v>0</v>
      </c>
    </row>
    <row r="351" spans="2:15">
      <c r="B351" s="15">
        <v>40398</v>
      </c>
      <c r="M351">
        <f t="shared" si="12"/>
        <v>0</v>
      </c>
      <c r="N351">
        <f t="shared" si="13"/>
        <v>0</v>
      </c>
      <c r="O351">
        <f t="shared" si="13"/>
        <v>0</v>
      </c>
    </row>
    <row r="352" spans="2:15">
      <c r="B352" s="15">
        <v>40399</v>
      </c>
      <c r="M352">
        <f t="shared" si="12"/>
        <v>0</v>
      </c>
      <c r="N352">
        <f t="shared" si="13"/>
        <v>0</v>
      </c>
      <c r="O352">
        <f t="shared" si="13"/>
        <v>0</v>
      </c>
    </row>
    <row r="353" spans="2:16">
      <c r="B353" s="15">
        <v>40400</v>
      </c>
      <c r="M353">
        <f t="shared" si="12"/>
        <v>0</v>
      </c>
      <c r="N353">
        <f t="shared" si="13"/>
        <v>0</v>
      </c>
      <c r="O353">
        <f t="shared" si="13"/>
        <v>0</v>
      </c>
    </row>
    <row r="354" spans="2:16">
      <c r="B354" s="15">
        <v>40401</v>
      </c>
      <c r="M354">
        <f t="shared" si="12"/>
        <v>0</v>
      </c>
      <c r="N354">
        <f t="shared" si="13"/>
        <v>0</v>
      </c>
      <c r="O354">
        <f t="shared" si="13"/>
        <v>0</v>
      </c>
    </row>
    <row r="355" spans="2:16">
      <c r="B355" s="15">
        <v>40402</v>
      </c>
      <c r="M355">
        <f t="shared" si="12"/>
        <v>0</v>
      </c>
      <c r="N355">
        <f t="shared" si="13"/>
        <v>0</v>
      </c>
      <c r="O355">
        <f t="shared" si="13"/>
        <v>0</v>
      </c>
    </row>
    <row r="356" spans="2:16">
      <c r="B356" s="15">
        <v>40403</v>
      </c>
      <c r="M356">
        <f t="shared" si="12"/>
        <v>0</v>
      </c>
      <c r="N356">
        <f t="shared" si="13"/>
        <v>0</v>
      </c>
      <c r="O356">
        <f t="shared" si="13"/>
        <v>0</v>
      </c>
    </row>
    <row r="357" spans="2:16">
      <c r="B357" s="15">
        <v>40404</v>
      </c>
      <c r="M357">
        <f t="shared" si="12"/>
        <v>0</v>
      </c>
      <c r="N357">
        <f t="shared" si="13"/>
        <v>0</v>
      </c>
      <c r="O357">
        <f t="shared" si="13"/>
        <v>0</v>
      </c>
    </row>
    <row r="358" spans="2:16">
      <c r="B358" s="15">
        <v>40405</v>
      </c>
      <c r="M358">
        <f t="shared" si="12"/>
        <v>0</v>
      </c>
      <c r="N358">
        <f t="shared" si="13"/>
        <v>0</v>
      </c>
      <c r="O358">
        <f t="shared" si="13"/>
        <v>0</v>
      </c>
    </row>
    <row r="359" spans="2:16">
      <c r="B359" s="15">
        <v>40406</v>
      </c>
      <c r="M359">
        <f t="shared" si="12"/>
        <v>0</v>
      </c>
      <c r="N359">
        <f t="shared" si="13"/>
        <v>0</v>
      </c>
      <c r="O359">
        <f t="shared" si="13"/>
        <v>0</v>
      </c>
    </row>
    <row r="360" spans="2:16">
      <c r="B360" s="15">
        <v>40407</v>
      </c>
      <c r="M360">
        <f t="shared" si="12"/>
        <v>0</v>
      </c>
      <c r="N360">
        <f t="shared" si="13"/>
        <v>0</v>
      </c>
      <c r="O360">
        <f t="shared" si="13"/>
        <v>0</v>
      </c>
    </row>
    <row r="361" spans="2:16">
      <c r="B361" s="15">
        <v>40408</v>
      </c>
      <c r="M361">
        <f t="shared" si="12"/>
        <v>0</v>
      </c>
      <c r="N361">
        <f t="shared" si="13"/>
        <v>0</v>
      </c>
      <c r="O361">
        <f t="shared" si="13"/>
        <v>0</v>
      </c>
    </row>
    <row r="362" spans="2:16">
      <c r="B362" s="15">
        <v>40409</v>
      </c>
      <c r="C362">
        <v>0.966796875</v>
      </c>
      <c r="D362">
        <v>3.8046875</v>
      </c>
      <c r="E362">
        <v>7.91015625E-2</v>
      </c>
      <c r="F362" s="3">
        <v>50.007754086596698</v>
      </c>
      <c r="G362">
        <v>49.992245913403302</v>
      </c>
      <c r="M362">
        <f t="shared" si="12"/>
        <v>2.837890625</v>
      </c>
      <c r="N362">
        <f t="shared" si="13"/>
        <v>0.50007754086596701</v>
      </c>
      <c r="O362">
        <f t="shared" si="13"/>
        <v>0.49992245913403299</v>
      </c>
      <c r="P362">
        <f>N362+O362</f>
        <v>1</v>
      </c>
    </row>
    <row r="363" spans="2:16">
      <c r="B363" s="15">
        <v>40410</v>
      </c>
      <c r="C363">
        <v>0.42938703298568698</v>
      </c>
      <c r="D363">
        <v>1.2392578125</v>
      </c>
      <c r="E363">
        <v>5.17578125E-2</v>
      </c>
      <c r="F363" s="3">
        <v>48.787474341371897</v>
      </c>
      <c r="G363">
        <v>51.212525658628103</v>
      </c>
      <c r="M363">
        <f t="shared" si="12"/>
        <v>0.80987077951431297</v>
      </c>
      <c r="N363">
        <f t="shared" si="13"/>
        <v>0.48787474341371895</v>
      </c>
      <c r="O363">
        <f t="shared" si="13"/>
        <v>0.51212525658628105</v>
      </c>
      <c r="P363">
        <f t="shared" ref="P363:P392" si="14">N363+O363</f>
        <v>1</v>
      </c>
    </row>
    <row r="364" spans="2:16">
      <c r="B364" s="15">
        <v>40411</v>
      </c>
      <c r="C364">
        <v>0.384314894676209</v>
      </c>
      <c r="D364">
        <v>1.0751953125</v>
      </c>
      <c r="E364">
        <v>8.59375E-2</v>
      </c>
      <c r="F364" s="3">
        <v>42.675292340177201</v>
      </c>
      <c r="G364">
        <v>57.324707659822799</v>
      </c>
      <c r="M364">
        <f t="shared" si="12"/>
        <v>0.69088041782379106</v>
      </c>
      <c r="N364">
        <f t="shared" si="13"/>
        <v>0.42675292340177201</v>
      </c>
      <c r="O364">
        <f t="shared" si="13"/>
        <v>0.57324707659822804</v>
      </c>
      <c r="P364">
        <f t="shared" si="14"/>
        <v>1</v>
      </c>
    </row>
    <row r="365" spans="2:16">
      <c r="B365" s="15">
        <v>40412</v>
      </c>
      <c r="C365">
        <v>0.2880859375</v>
      </c>
      <c r="D365">
        <v>0.7431640625</v>
      </c>
      <c r="E365">
        <v>7.6171875E-2</v>
      </c>
      <c r="F365" s="3">
        <v>47.724213086631003</v>
      </c>
      <c r="G365">
        <v>52.275786913368997</v>
      </c>
      <c r="M365">
        <f t="shared" si="12"/>
        <v>0.455078125</v>
      </c>
      <c r="N365">
        <f t="shared" si="13"/>
        <v>0.47724213086631001</v>
      </c>
      <c r="O365">
        <f t="shared" si="13"/>
        <v>0.52275786913368993</v>
      </c>
      <c r="P365">
        <f t="shared" si="14"/>
        <v>1</v>
      </c>
    </row>
    <row r="366" spans="2:16">
      <c r="B366" s="15">
        <v>40413</v>
      </c>
      <c r="C366">
        <v>0.78981369733810403</v>
      </c>
      <c r="D366">
        <v>3.0205078125</v>
      </c>
      <c r="E366">
        <v>0.1162109375</v>
      </c>
      <c r="F366" s="3">
        <v>52.752154148191899</v>
      </c>
      <c r="G366">
        <v>47.247845851808101</v>
      </c>
      <c r="M366">
        <f t="shared" si="12"/>
        <v>2.2306941151618958</v>
      </c>
      <c r="N366">
        <f t="shared" si="13"/>
        <v>0.52752154148191899</v>
      </c>
      <c r="O366">
        <f t="shared" si="13"/>
        <v>0.47247845851808101</v>
      </c>
      <c r="P366">
        <f t="shared" si="14"/>
        <v>1</v>
      </c>
    </row>
    <row r="367" spans="2:16">
      <c r="B367" s="15">
        <v>40414</v>
      </c>
      <c r="C367">
        <v>0.227764427661896</v>
      </c>
      <c r="D367">
        <v>0.615234375</v>
      </c>
      <c r="E367">
        <v>0.1005859375</v>
      </c>
      <c r="F367" s="3">
        <v>43.165722993783497</v>
      </c>
      <c r="G367">
        <v>56.834277006216503</v>
      </c>
      <c r="M367">
        <f t="shared" ref="M367:M392" si="15">D367-C367</f>
        <v>0.38746994733810403</v>
      </c>
      <c r="N367">
        <f t="shared" ref="N367:O392" si="16">F367/100</f>
        <v>0.43165722993783495</v>
      </c>
      <c r="O367">
        <f t="shared" si="16"/>
        <v>0.56834277006216505</v>
      </c>
      <c r="P367">
        <f t="shared" si="14"/>
        <v>1</v>
      </c>
    </row>
    <row r="368" spans="2:16">
      <c r="B368" s="15">
        <v>40415</v>
      </c>
      <c r="C368">
        <v>0.68081432580947898</v>
      </c>
      <c r="D368">
        <v>3.826171875</v>
      </c>
      <c r="E368">
        <v>0.115234375</v>
      </c>
      <c r="F368" s="3">
        <v>63.604239809663099</v>
      </c>
      <c r="G368">
        <v>36.395760190336901</v>
      </c>
      <c r="M368">
        <f t="shared" si="15"/>
        <v>3.1453575491905212</v>
      </c>
      <c r="N368">
        <f t="shared" si="16"/>
        <v>0.63604239809663099</v>
      </c>
      <c r="O368">
        <f t="shared" si="16"/>
        <v>0.36395760190336901</v>
      </c>
      <c r="P368">
        <f t="shared" si="14"/>
        <v>1</v>
      </c>
    </row>
    <row r="369" spans="2:16">
      <c r="B369" s="15">
        <v>40416</v>
      </c>
      <c r="C369">
        <v>0.35719650983810403</v>
      </c>
      <c r="D369">
        <v>0.9599609375</v>
      </c>
      <c r="E369">
        <v>0.10546875</v>
      </c>
      <c r="F369" s="3">
        <v>35.126791147967097</v>
      </c>
      <c r="G369">
        <v>64.873208852032903</v>
      </c>
      <c r="M369">
        <f t="shared" si="15"/>
        <v>0.60276442766189597</v>
      </c>
      <c r="N369">
        <f t="shared" si="16"/>
        <v>0.35126791147967096</v>
      </c>
      <c r="O369">
        <f t="shared" si="16"/>
        <v>0.64873208852032904</v>
      </c>
      <c r="P369">
        <f t="shared" si="14"/>
        <v>1</v>
      </c>
    </row>
    <row r="370" spans="2:16">
      <c r="B370" s="15">
        <v>40417</v>
      </c>
      <c r="C370">
        <v>0.259314894676209</v>
      </c>
      <c r="D370">
        <v>0.51171875</v>
      </c>
      <c r="E370">
        <v>0.2197265625</v>
      </c>
      <c r="F370" s="3">
        <v>28.959848930753498</v>
      </c>
      <c r="G370">
        <v>71.040151069246505</v>
      </c>
      <c r="M370">
        <f t="shared" si="15"/>
        <v>0.252403855323791</v>
      </c>
      <c r="N370">
        <f t="shared" si="16"/>
        <v>0.28959848930753496</v>
      </c>
      <c r="O370">
        <f t="shared" si="16"/>
        <v>0.71040151069246504</v>
      </c>
      <c r="P370">
        <f t="shared" si="14"/>
        <v>1</v>
      </c>
    </row>
    <row r="371" spans="2:16">
      <c r="B371" s="15">
        <v>40418</v>
      </c>
      <c r="C371">
        <v>0.24737079441547399</v>
      </c>
      <c r="D371">
        <v>0.4619140625</v>
      </c>
      <c r="E371">
        <v>0.22265625</v>
      </c>
      <c r="F371" s="3">
        <v>24.245440343531399</v>
      </c>
      <c r="G371">
        <v>75.754559656468601</v>
      </c>
      <c r="M371">
        <f t="shared" si="15"/>
        <v>0.21454326808452601</v>
      </c>
      <c r="N371">
        <f t="shared" si="16"/>
        <v>0.24245440343531399</v>
      </c>
      <c r="O371">
        <f t="shared" si="16"/>
        <v>0.75754559656468601</v>
      </c>
      <c r="P371">
        <f t="shared" si="14"/>
        <v>1</v>
      </c>
    </row>
    <row r="372" spans="2:16">
      <c r="B372" s="15">
        <v>40419</v>
      </c>
      <c r="C372">
        <v>0.24759615957737</v>
      </c>
      <c r="D372">
        <v>0.4580078125</v>
      </c>
      <c r="E372">
        <v>0.2216796875</v>
      </c>
      <c r="F372" s="3">
        <v>24.412834439285099</v>
      </c>
      <c r="G372">
        <v>75.587165560714894</v>
      </c>
      <c r="M372">
        <f t="shared" si="15"/>
        <v>0.21041165292263</v>
      </c>
      <c r="N372">
        <f t="shared" si="16"/>
        <v>0.244128344392851</v>
      </c>
      <c r="O372">
        <f t="shared" si="16"/>
        <v>0.75587165560714897</v>
      </c>
      <c r="P372">
        <f t="shared" si="14"/>
        <v>1</v>
      </c>
    </row>
    <row r="373" spans="2:16">
      <c r="B373" s="15">
        <v>40420</v>
      </c>
      <c r="C373">
        <v>0.30603966116905201</v>
      </c>
      <c r="D373">
        <v>0.6728515625</v>
      </c>
      <c r="E373">
        <v>0.2236328125</v>
      </c>
      <c r="F373" s="3">
        <v>26.821999901675699</v>
      </c>
      <c r="G373">
        <v>73.178000098324304</v>
      </c>
      <c r="M373">
        <f t="shared" si="15"/>
        <v>0.36681190133094799</v>
      </c>
      <c r="N373">
        <f t="shared" si="16"/>
        <v>0.26821999901675697</v>
      </c>
      <c r="O373">
        <f t="shared" si="16"/>
        <v>0.73178000098324303</v>
      </c>
      <c r="P373">
        <f t="shared" si="14"/>
        <v>1</v>
      </c>
    </row>
    <row r="374" spans="2:16">
      <c r="B374" s="15">
        <v>40421</v>
      </c>
      <c r="C374">
        <v>0.3828125</v>
      </c>
      <c r="D374">
        <v>0.8408203125</v>
      </c>
      <c r="E374">
        <v>0.2841796875</v>
      </c>
      <c r="F374" s="3">
        <v>29.3044709830953</v>
      </c>
      <c r="G374">
        <v>70.6955290169047</v>
      </c>
      <c r="M374">
        <f t="shared" si="15"/>
        <v>0.4580078125</v>
      </c>
      <c r="N374">
        <f t="shared" si="16"/>
        <v>0.29304470983095299</v>
      </c>
      <c r="O374">
        <f t="shared" si="16"/>
        <v>0.70695529016904701</v>
      </c>
      <c r="P374">
        <f t="shared" si="14"/>
        <v>1</v>
      </c>
    </row>
    <row r="375" spans="2:16">
      <c r="B375" s="15">
        <v>40422</v>
      </c>
      <c r="C375">
        <v>0.72190505266189597</v>
      </c>
      <c r="D375">
        <v>2.1259765625</v>
      </c>
      <c r="E375">
        <v>0.2919921875</v>
      </c>
      <c r="F375" s="3">
        <v>37.446278775743799</v>
      </c>
      <c r="G375">
        <v>62.553721224256201</v>
      </c>
      <c r="M375">
        <f t="shared" si="15"/>
        <v>1.404071509838104</v>
      </c>
      <c r="N375">
        <f t="shared" si="16"/>
        <v>0.37446278775743802</v>
      </c>
      <c r="O375">
        <f t="shared" si="16"/>
        <v>0.62553721224256198</v>
      </c>
      <c r="P375">
        <f t="shared" si="14"/>
        <v>1</v>
      </c>
    </row>
    <row r="376" spans="2:16">
      <c r="B376" s="15">
        <v>40423</v>
      </c>
      <c r="C376">
        <v>0.68727463483810403</v>
      </c>
      <c r="D376">
        <v>2.126953125</v>
      </c>
      <c r="E376">
        <v>0.1865234375</v>
      </c>
      <c r="F376" s="3">
        <v>46.563374478451301</v>
      </c>
      <c r="G376">
        <v>53.436625521548699</v>
      </c>
      <c r="M376">
        <f t="shared" si="15"/>
        <v>1.439678490161896</v>
      </c>
      <c r="N376">
        <f t="shared" si="16"/>
        <v>0.46563374478451303</v>
      </c>
      <c r="O376">
        <f t="shared" si="16"/>
        <v>0.53436625521548697</v>
      </c>
      <c r="P376">
        <f t="shared" si="14"/>
        <v>1</v>
      </c>
    </row>
    <row r="377" spans="2:16">
      <c r="B377" s="15">
        <v>40424</v>
      </c>
      <c r="C377">
        <v>0.62094348669052102</v>
      </c>
      <c r="D377">
        <v>2.8525390625</v>
      </c>
      <c r="E377">
        <v>0.1796875</v>
      </c>
      <c r="F377" s="3">
        <v>43.882399133430901</v>
      </c>
      <c r="G377">
        <v>56.117600866569099</v>
      </c>
      <c r="M377">
        <f t="shared" si="15"/>
        <v>2.2315955758094788</v>
      </c>
      <c r="N377">
        <f t="shared" si="16"/>
        <v>0.43882399133430899</v>
      </c>
      <c r="O377">
        <f t="shared" si="16"/>
        <v>0.56117600866569095</v>
      </c>
      <c r="P377">
        <f t="shared" si="14"/>
        <v>1</v>
      </c>
    </row>
    <row r="378" spans="2:16">
      <c r="B378" s="15">
        <v>40425</v>
      </c>
      <c r="C378">
        <v>0.322791457176209</v>
      </c>
      <c r="D378">
        <v>0.7626953125</v>
      </c>
      <c r="E378">
        <v>0.16015625</v>
      </c>
      <c r="F378" s="3">
        <v>36.398176291793298</v>
      </c>
      <c r="G378">
        <v>63.601823708206702</v>
      </c>
      <c r="M378">
        <f t="shared" si="15"/>
        <v>0.439903855323791</v>
      </c>
      <c r="N378">
        <f t="shared" si="16"/>
        <v>0.36398176291793299</v>
      </c>
      <c r="O378">
        <f t="shared" si="16"/>
        <v>0.63601823708206706</v>
      </c>
      <c r="P378">
        <f t="shared" si="14"/>
        <v>1</v>
      </c>
    </row>
    <row r="379" spans="2:16">
      <c r="B379" s="15">
        <v>40426</v>
      </c>
      <c r="C379">
        <v>0.28725960850715598</v>
      </c>
      <c r="D379">
        <v>0.9931640625</v>
      </c>
      <c r="E379">
        <v>0.162109375</v>
      </c>
      <c r="F379" s="3">
        <v>43.710871561724502</v>
      </c>
      <c r="G379">
        <v>56.289128438275498</v>
      </c>
      <c r="M379">
        <f t="shared" si="15"/>
        <v>0.70590445399284407</v>
      </c>
      <c r="N379">
        <f t="shared" si="16"/>
        <v>0.43710871561724501</v>
      </c>
      <c r="O379">
        <f t="shared" si="16"/>
        <v>0.56289128438275493</v>
      </c>
      <c r="P379">
        <f t="shared" si="14"/>
        <v>1</v>
      </c>
    </row>
    <row r="380" spans="2:16">
      <c r="B380" s="15">
        <v>40427</v>
      </c>
      <c r="C380">
        <v>0.55626499652862504</v>
      </c>
      <c r="D380">
        <v>1.3955078125</v>
      </c>
      <c r="E380">
        <v>0.1806640625</v>
      </c>
      <c r="F380" s="3">
        <v>43.7106449940296</v>
      </c>
      <c r="G380">
        <v>56.2893550059704</v>
      </c>
      <c r="M380">
        <f t="shared" si="15"/>
        <v>0.83924281597137496</v>
      </c>
      <c r="N380">
        <f t="shared" si="16"/>
        <v>0.43710644994029602</v>
      </c>
      <c r="O380">
        <f t="shared" si="16"/>
        <v>0.56289355005970398</v>
      </c>
      <c r="P380">
        <f t="shared" si="14"/>
        <v>1</v>
      </c>
    </row>
    <row r="381" spans="2:16">
      <c r="B381" s="15">
        <v>40428</v>
      </c>
      <c r="C381">
        <v>1.0127704143524201</v>
      </c>
      <c r="D381">
        <v>3.37890625</v>
      </c>
      <c r="E381">
        <v>0.1904296875</v>
      </c>
      <c r="F381" s="3">
        <v>48.676640792696503</v>
      </c>
      <c r="G381">
        <v>51.323359207303497</v>
      </c>
      <c r="M381">
        <f t="shared" si="15"/>
        <v>2.3661358356475799</v>
      </c>
      <c r="N381">
        <f t="shared" si="16"/>
        <v>0.48676640792696502</v>
      </c>
      <c r="O381">
        <f t="shared" si="16"/>
        <v>0.51323359207303498</v>
      </c>
      <c r="P381">
        <f t="shared" si="14"/>
        <v>1</v>
      </c>
    </row>
    <row r="382" spans="2:16">
      <c r="B382" s="15">
        <v>40429</v>
      </c>
      <c r="C382">
        <v>1.71855473518372</v>
      </c>
      <c r="D382">
        <v>5.828125</v>
      </c>
      <c r="E382">
        <v>0.181640625</v>
      </c>
      <c r="F382" s="3">
        <v>52.5037080306234</v>
      </c>
      <c r="G382">
        <v>47.4962919693766</v>
      </c>
      <c r="M382">
        <f t="shared" si="15"/>
        <v>4.1095702648162797</v>
      </c>
      <c r="N382">
        <f t="shared" si="16"/>
        <v>0.52503708030623397</v>
      </c>
      <c r="O382">
        <f t="shared" si="16"/>
        <v>0.47496291969376597</v>
      </c>
      <c r="P382">
        <f t="shared" si="14"/>
        <v>1</v>
      </c>
    </row>
    <row r="383" spans="2:16">
      <c r="B383" s="15">
        <v>40430</v>
      </c>
      <c r="C383">
        <v>0.91180419921875</v>
      </c>
      <c r="D383">
        <v>3.28515625</v>
      </c>
      <c r="E383">
        <v>8.984375E-2</v>
      </c>
      <c r="F383" s="3">
        <v>42.6339119256644</v>
      </c>
      <c r="G383">
        <v>57.3660880743356</v>
      </c>
      <c r="M383">
        <f t="shared" si="15"/>
        <v>2.37335205078125</v>
      </c>
      <c r="N383">
        <f t="shared" si="16"/>
        <v>0.42633911925664397</v>
      </c>
      <c r="O383">
        <f t="shared" si="16"/>
        <v>0.57366088074335597</v>
      </c>
      <c r="P383">
        <f t="shared" si="14"/>
        <v>1</v>
      </c>
    </row>
    <row r="384" spans="2:16">
      <c r="B384" s="15">
        <v>40431</v>
      </c>
      <c r="C384">
        <v>1.2594970464706401</v>
      </c>
      <c r="D384">
        <v>4.8203125</v>
      </c>
      <c r="E384">
        <v>0.130859375</v>
      </c>
      <c r="F384" s="3">
        <v>48.910228720143003</v>
      </c>
      <c r="G384">
        <v>51.089771279856997</v>
      </c>
      <c r="M384">
        <f t="shared" si="15"/>
        <v>3.5608154535293597</v>
      </c>
      <c r="N384">
        <f t="shared" si="16"/>
        <v>0.48910228720143001</v>
      </c>
      <c r="O384">
        <f t="shared" si="16"/>
        <v>0.51089771279856999</v>
      </c>
      <c r="P384">
        <f t="shared" si="14"/>
        <v>1</v>
      </c>
    </row>
    <row r="385" spans="2:16">
      <c r="B385" s="15">
        <v>40432</v>
      </c>
      <c r="M385">
        <f t="shared" si="15"/>
        <v>0</v>
      </c>
      <c r="N385">
        <f t="shared" si="16"/>
        <v>0</v>
      </c>
      <c r="O385">
        <f t="shared" si="16"/>
        <v>0</v>
      </c>
      <c r="P385">
        <f t="shared" si="14"/>
        <v>0</v>
      </c>
    </row>
    <row r="386" spans="2:16">
      <c r="B386" s="15">
        <v>40433</v>
      </c>
      <c r="M386">
        <f t="shared" si="15"/>
        <v>0</v>
      </c>
      <c r="N386">
        <f t="shared" si="16"/>
        <v>0</v>
      </c>
      <c r="O386">
        <f t="shared" si="16"/>
        <v>0</v>
      </c>
      <c r="P386">
        <f t="shared" si="14"/>
        <v>0</v>
      </c>
    </row>
    <row r="387" spans="2:16">
      <c r="B387" s="15">
        <v>40434</v>
      </c>
      <c r="C387">
        <v>1.0284765958786</v>
      </c>
      <c r="D387">
        <v>3.2041015625</v>
      </c>
      <c r="E387">
        <v>3.02734375E-2</v>
      </c>
      <c r="F387" s="3">
        <v>45.562013559346603</v>
      </c>
      <c r="G387">
        <v>54.437986440653397</v>
      </c>
      <c r="M387">
        <f t="shared" si="15"/>
        <v>2.1756249666213998</v>
      </c>
      <c r="N387">
        <f t="shared" si="16"/>
        <v>0.45562013559346604</v>
      </c>
      <c r="O387">
        <f t="shared" si="16"/>
        <v>0.54437986440653396</v>
      </c>
      <c r="P387">
        <f t="shared" si="14"/>
        <v>1</v>
      </c>
    </row>
    <row r="388" spans="2:16">
      <c r="B388" s="15">
        <v>40435</v>
      </c>
      <c r="C388">
        <v>1.3898721933364899</v>
      </c>
      <c r="D388">
        <v>5.462890625</v>
      </c>
      <c r="E388">
        <v>3.515625E-2</v>
      </c>
      <c r="F388" s="3">
        <v>49.681769313574101</v>
      </c>
      <c r="G388">
        <v>50.318230686425899</v>
      </c>
      <c r="M388">
        <f t="shared" si="15"/>
        <v>4.0730184316635096</v>
      </c>
      <c r="N388">
        <f t="shared" si="16"/>
        <v>0.49681769313574103</v>
      </c>
      <c r="O388">
        <f t="shared" si="16"/>
        <v>0.50318230686425902</v>
      </c>
      <c r="P388">
        <f t="shared" si="14"/>
        <v>1</v>
      </c>
    </row>
    <row r="389" spans="2:16">
      <c r="B389" s="15">
        <v>40436</v>
      </c>
      <c r="C389">
        <v>0.68111163377761796</v>
      </c>
      <c r="D389">
        <v>5.7998046875</v>
      </c>
      <c r="E389">
        <v>0.1875</v>
      </c>
      <c r="F389" s="3">
        <v>49.829942125606301</v>
      </c>
      <c r="G389">
        <v>50.170057874393699</v>
      </c>
      <c r="M389">
        <f t="shared" si="15"/>
        <v>5.1186930537223816</v>
      </c>
      <c r="N389">
        <f t="shared" si="16"/>
        <v>0.49829942125606302</v>
      </c>
      <c r="O389">
        <f t="shared" si="16"/>
        <v>0.50170057874393703</v>
      </c>
      <c r="P389">
        <f t="shared" si="14"/>
        <v>1</v>
      </c>
    </row>
    <row r="390" spans="2:16">
      <c r="B390" s="15">
        <v>40437</v>
      </c>
      <c r="C390">
        <v>1.08514404296875</v>
      </c>
      <c r="D390">
        <v>11.5537109375</v>
      </c>
      <c r="E390">
        <v>0.21484375</v>
      </c>
      <c r="F390" s="3">
        <v>48.283012284118001</v>
      </c>
      <c r="G390">
        <v>51.716987715881999</v>
      </c>
      <c r="M390">
        <f t="shared" si="15"/>
        <v>10.46856689453125</v>
      </c>
      <c r="N390">
        <f t="shared" si="16"/>
        <v>0.48283012284117999</v>
      </c>
      <c r="O390">
        <f t="shared" si="16"/>
        <v>0.51716987715882001</v>
      </c>
      <c r="P390">
        <f t="shared" si="14"/>
        <v>1</v>
      </c>
    </row>
    <row r="391" spans="2:16">
      <c r="B391" s="15">
        <v>40438</v>
      </c>
      <c r="C391">
        <v>1.0400390625</v>
      </c>
      <c r="D391">
        <v>6.107421875</v>
      </c>
      <c r="E391">
        <v>0.2177734375</v>
      </c>
      <c r="F391" s="3">
        <v>50.2080921364498</v>
      </c>
      <c r="G391">
        <v>49.7919078635502</v>
      </c>
      <c r="M391">
        <f t="shared" si="15"/>
        <v>5.0673828125</v>
      </c>
      <c r="N391">
        <f t="shared" si="16"/>
        <v>0.502080921364498</v>
      </c>
      <c r="O391">
        <f t="shared" si="16"/>
        <v>0.497919078635502</v>
      </c>
      <c r="P391">
        <f t="shared" si="14"/>
        <v>1</v>
      </c>
    </row>
    <row r="392" spans="2:16">
      <c r="B392" s="15">
        <v>40439</v>
      </c>
      <c r="C392">
        <v>0.68585205078125</v>
      </c>
      <c r="D392">
        <v>4.3994140625</v>
      </c>
      <c r="E392">
        <v>0.21484375</v>
      </c>
      <c r="F392" s="3">
        <v>49.152893688976199</v>
      </c>
      <c r="G392">
        <v>50.847106311023801</v>
      </c>
      <c r="M392">
        <f t="shared" si="15"/>
        <v>3.71356201171875</v>
      </c>
      <c r="N392">
        <f t="shared" si="16"/>
        <v>0.49152893688976201</v>
      </c>
      <c r="O392">
        <f t="shared" si="16"/>
        <v>0.50847106311023804</v>
      </c>
      <c r="P392">
        <f t="shared" si="14"/>
        <v>1</v>
      </c>
    </row>
    <row r="393" spans="2:16">
      <c r="B393" s="15">
        <v>40440</v>
      </c>
      <c r="C393">
        <v>0.4580078125</v>
      </c>
      <c r="D393">
        <v>1.3447265625</v>
      </c>
      <c r="E393">
        <v>0.212890625</v>
      </c>
      <c r="F393" s="3">
        <v>53.250640878921899</v>
      </c>
      <c r="G393">
        <v>46.749359121078101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12</vt:i4>
      </vt:variant>
    </vt:vector>
  </HeadingPairs>
  <TitlesOfParts>
    <vt:vector size="19" baseType="lpstr">
      <vt:lpstr>CONSOLE</vt:lpstr>
      <vt:lpstr>CONSOLE-&lt;cluster&gt;</vt:lpstr>
      <vt:lpstr>CLSTR-&lt;cluster&gt;</vt:lpstr>
      <vt:lpstr>ESX-&lt;esx&gt;</vt:lpstr>
      <vt:lpstr>ESXPERF-&lt;esx&gt;</vt:lpstr>
      <vt:lpstr>CLSTRDATA-&lt;cluster&gt;</vt:lpstr>
      <vt:lpstr>ESXDATA-&lt;esx&gt;</vt:lpstr>
      <vt:lpstr>CAPMGMTBOOK</vt:lpstr>
      <vt:lpstr>CAPMGMTPATH</vt:lpstr>
      <vt:lpstr>'CLSTRDATA-&lt;cluster&gt;'!cpu_4weeks_1</vt:lpstr>
      <vt:lpstr>'CLSTRDATA-&lt;cluster&gt;'!cpu_breakdown_1</vt:lpstr>
      <vt:lpstr>'CLSTRDATA-&lt;cluster&gt;'!cpu_memory_1</vt:lpstr>
      <vt:lpstr>'ESXDATA-&lt;esx&gt;'!cpu_memory_1</vt:lpstr>
      <vt:lpstr>DATAROOT</vt:lpstr>
      <vt:lpstr>'ESXDATA-&lt;esx&gt;'!disk</vt:lpstr>
      <vt:lpstr>'CLSTRDATA-&lt;cluster&gt;'!mem_4weeks_1</vt:lpstr>
      <vt:lpstr>'CLSTRDATA-&lt;cluster&gt;'!mem_4weeks_2</vt:lpstr>
      <vt:lpstr>'ESXDATA-&lt;esx&gt;'!memory</vt:lpstr>
      <vt:lpstr>'ESXDATA-&lt;esx&gt;'!net</vt:lpstr>
    </vt:vector>
  </TitlesOfParts>
  <Company>VMware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rtaneno</dc:creator>
  <cp:lastModifiedBy>kfukumot</cp:lastModifiedBy>
  <dcterms:created xsi:type="dcterms:W3CDTF">2010-07-30T01:41:53Z</dcterms:created>
  <dcterms:modified xsi:type="dcterms:W3CDTF">2010-10-12T05:09:30Z</dcterms:modified>
</cp:coreProperties>
</file>